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A82788F9-6A5F-4DB9-B9F4-8331CA9994E3}" xr6:coauthVersionLast="36" xr6:coauthVersionMax="47" xr10:uidLastSave="{00000000-0000-0000-0000-000000000000}"/>
  <bookViews>
    <workbookView xWindow="-120" yWindow="-120" windowWidth="20736" windowHeight="9948" tabRatio="603" activeTab="2" xr2:uid="{00000000-000D-0000-FFFF-FFFF00000000}"/>
  </bookViews>
  <sheets>
    <sheet name="N_No.1" sheetId="20" r:id="rId1"/>
    <sheet name="N_No.2" sheetId="25" r:id="rId2"/>
    <sheet name="N (3)" sheetId="26" r:id="rId3"/>
    <sheet name="Friction" sheetId="22" r:id="rId4"/>
    <sheet name="input _pile" sheetId="21" r:id="rId5"/>
    <sheet name="Sheet1" sheetId="24" r:id="rId6"/>
    <sheet name="N (2)" sheetId="2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6" i="20" l="1"/>
  <c r="G7" i="26"/>
  <c r="G6" i="26" s="1"/>
  <c r="J5" i="26"/>
  <c r="J6" i="26" s="1"/>
  <c r="G7" i="25"/>
  <c r="G8" i="25" s="1"/>
  <c r="J5" i="25"/>
  <c r="J6" i="25" s="1"/>
  <c r="G8" i="26" l="1"/>
  <c r="G6" i="25"/>
  <c r="B14" i="22"/>
  <c r="J5" i="20" l="1"/>
  <c r="B6" i="22"/>
  <c r="B7" i="22" s="1"/>
  <c r="B8" i="22" s="1"/>
  <c r="B9" i="22" s="1"/>
  <c r="B10" i="22" s="1"/>
  <c r="B11" i="22" s="1"/>
  <c r="B12" i="22" s="1"/>
  <c r="B13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I7" i="22" l="1"/>
  <c r="D11" i="24" l="1"/>
  <c r="D12" i="24"/>
  <c r="D13" i="24" s="1"/>
  <c r="J7" i="23" l="1"/>
  <c r="J9" i="23" s="1"/>
  <c r="G7" i="23" l="1"/>
  <c r="G8" i="23" s="1"/>
  <c r="G6" i="23" l="1"/>
  <c r="B27" i="21"/>
  <c r="B26" i="21"/>
  <c r="B28" i="21" s="1"/>
  <c r="B14" i="21"/>
  <c r="B15" i="21" s="1"/>
  <c r="B16" i="21" s="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<sst xmlns="http://schemas.openxmlformats.org/spreadsheetml/2006/main" count="273" uniqueCount="113">
  <si>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</si>
  <si>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</si>
  <si>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</si>
  <si>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</si>
  <si>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</si>
  <si>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</si>
  <si>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</si>
  <si>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</si>
  <si>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</si>
  <si>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</si>
  <si>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</si>
  <si>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</si>
  <si>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</si>
  <si>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</si>
  <si>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</si>
  <si>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</si>
  <si>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</si>
  <si>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</si>
  <si>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</si>
  <si>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</si>
  <si>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</si>
  <si>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</si>
  <si>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</si>
  <si>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</si>
  <si>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</si>
  <si>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</si>
  <si>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</si>
  <si>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</si>
  <si>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</si>
  <si>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</si>
  <si>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</si>
  <si>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</si>
  <si>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</si>
  <si>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</si>
  <si>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</si>
  <si>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</si>
  <si>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</si>
  <si>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</si>
  <si>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</si>
  <si>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</si>
  <si>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</si>
  <si>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</si>
  <si>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</si>
  <si>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</si>
  <si>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</si>
  <si>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</si>
  <si>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</si>
  <si>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</si>
  <si>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</si>
  <si>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</si>
  <si>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</si>
  <si>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</si>
  <si>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</si>
  <si>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</si>
  <si>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</si>
  <si>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</si>
  <si>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</si>
  <si>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</si>
  <si>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</si>
  <si>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</si>
  <si>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</si>
  <si>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</si>
  <si>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</si>
  <si>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</si>
  <si>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</si>
  <si>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</si>
  <si>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</si>
  <si>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</si>
  <si>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</si>
  <si>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</si>
  <si>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</si>
  <si>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</si>
  <si>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</si>
  <si>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</si>
  <si>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</si>
  <si>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</si>
  <si>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</si>
  <si>
    <t>シルト質粘土</t>
  </si>
  <si>
    <t>泥岩</t>
  </si>
  <si>
    <t>基礎下高</t>
    <rPh sb="0" eb="2">
      <t>キソ</t>
    </rPh>
    <rPh sb="2" eb="3">
      <t>シタ</t>
    </rPh>
    <rPh sb="3" eb="4">
      <t>タカ</t>
    </rPh>
    <phoneticPr fontId="1"/>
  </si>
  <si>
    <t>盛土（粘土）</t>
  </si>
  <si>
    <t>砂質シルト</t>
  </si>
  <si>
    <t>深さ</t>
  </si>
  <si>
    <t>GL</t>
    <phoneticPr fontId="1"/>
  </si>
  <si>
    <t>記号</t>
    <rPh sb="0" eb="2">
      <t>キゴウ</t>
    </rPh>
    <phoneticPr fontId="1"/>
  </si>
  <si>
    <t>rf 1= 0 ( 摩擦を考慮しない。)</t>
  </si>
  <si>
    <t>L</t>
  </si>
  <si>
    <t>N値</t>
  </si>
  <si>
    <t>Nave</t>
  </si>
  <si>
    <t>L*Nave</t>
  </si>
  <si>
    <t>杭周　　</t>
    <rPh sb="0" eb="1">
      <t>クイ</t>
    </rPh>
    <rPh sb="1" eb="2">
      <t>シュウ</t>
    </rPh>
    <phoneticPr fontId="1"/>
  </si>
  <si>
    <t>α=</t>
    <phoneticPr fontId="1"/>
  </si>
  <si>
    <t>N=</t>
    <phoneticPr fontId="1"/>
  </si>
  <si>
    <t>Ap=</t>
    <phoneticPr fontId="1"/>
  </si>
  <si>
    <t>1．  1.5m～3m  ,盛土（粘土）</t>
  </si>
  <si>
    <t>5．  6m～12.5m  ,泥岩</t>
  </si>
  <si>
    <t>1/3*RF=</t>
    <phoneticPr fontId="1"/>
  </si>
  <si>
    <t>qp*Ap=</t>
    <phoneticPr fontId="1"/>
  </si>
  <si>
    <t>2．  3m～4m  ,砂質シルト</t>
  </si>
  <si>
    <t>rf 2= 0 ( 摩擦を考慮しない。)</t>
  </si>
  <si>
    <t>rf 5= 0 ( 摩擦を考慮しない。)</t>
  </si>
  <si>
    <t>平均N値の算定　</t>
    <rPh sb="0" eb="2">
      <t>ヘイキン</t>
    </rPh>
    <rPh sb="3" eb="4">
      <t>チ</t>
    </rPh>
    <rPh sb="5" eb="7">
      <t>サンテイ</t>
    </rPh>
    <phoneticPr fontId="1"/>
  </si>
  <si>
    <t>ボーリング　No.1</t>
    <phoneticPr fontId="1"/>
  </si>
  <si>
    <t>ボーリング　No.2</t>
    <phoneticPr fontId="1"/>
  </si>
  <si>
    <t>平均N値 = 10.5</t>
  </si>
  <si>
    <t>平均N値 = 17.5</t>
  </si>
  <si>
    <t>3．  4m～5.05m  ,シルト質粘土(qu=12.5 * N )</t>
  </si>
  <si>
    <t>rf 3 =1 / 2 * qu * Lc * φ  =1/2*12.5*3.8*1.05*0.942=23.49</t>
  </si>
  <si>
    <t>4．  5.05m～6m  ,シルト質粘土(qu=12.5 * N )</t>
  </si>
  <si>
    <t>rf 4 =1 / 2 * qu * Lc * φ  =1/2*12.5*1.65*0.95*0.942=9.21</t>
  </si>
  <si>
    <t>1 / 3 * RF = 1 / 3 * 32.7 = 10.9kN</t>
  </si>
  <si>
    <t>RF = 0+0+23.49+9.21+0=32.7kN</t>
  </si>
  <si>
    <t xml:space="preserve">平均N値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</si>
</sst>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_);[Red]\(0.00\)"/>
    <numFmt numFmtId="178" formatCode="0.000_);[Red]\(0.00\)"/>
  </numFmts>
  <fonts count="1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0070C0"/>
      <name val="Meiryo UI"/>
      <family val="3"/>
      <charset val="128"/>
    </font>
    <font>
      <sz val="9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27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77" fontId="3" fillId="0" borderId="0" xfId="1" applyNumberFormat="1" applyFont="1">
      <alignment vertical="center"/>
    </xf>
    <xf numFmtId="177" fontId="3" fillId="0" borderId="0" xfId="1" applyNumberFormat="1" applyFont="1" applyAlignment="1">
      <alignment horizontal="center" vertical="center"/>
    </xf>
    <xf numFmtId="178" fontId="3" fillId="0" borderId="0" xfId="1" applyNumberFormat="1" applyFont="1">
      <alignment vertical="center"/>
    </xf>
    <xf numFmtId="178" fontId="0" fillId="0" borderId="0" xfId="0" applyNumberFormat="1"/>
    <xf numFmtId="178" fontId="3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1" fontId="10" fillId="0" borderId="0" xfId="0" applyNumberFormat="1" applyFont="1"/>
    <xf numFmtId="176" fontId="10" fillId="0" borderId="0" xfId="0" applyNumberFormat="1" applyFont="1"/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39370</xdr:colOff>
      <xdr:row>3</xdr:row>
      <xdr:rowOff>188595</xdr:rowOff>
    </xdr:from>
    <xdr:to>
      <xdr:col>4</xdr:col>
      <xdr:colOff>52070</xdr:colOff>
      <xdr:row>4</xdr:row>
      <xdr:rowOff>188595</xdr:rowOff>
    </xdr:to>
    <xdr:cxnSp macro="">
      <xdr:nvCxnSpPr>
        <xdr:cNvPr id="2195" name="line0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CxnSpPr/>
      </xdr:nvCxnSpPr>
      <xdr:spPr>
        <a:xfrm>
          <a:off x="16205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13970</xdr:colOff>
      <xdr:row>4</xdr:row>
      <xdr:rowOff>188595</xdr:rowOff>
    </xdr:from>
    <xdr:to>
      <xdr:col>4</xdr:col>
      <xdr:colOff>52070</xdr:colOff>
      <xdr:row>5</xdr:row>
      <xdr:rowOff>188595</xdr:rowOff>
    </xdr:to>
    <xdr:cxnSp macro="">
      <xdr:nvCxnSpPr>
        <xdr:cNvPr id="2196" name="line0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CxnSpPr/>
      </xdr:nvCxnSpPr>
      <xdr:spPr>
        <a:xfrm flipH="1">
          <a:off x="1595120" y="960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13970</xdr:colOff>
      <xdr:row>5</xdr:row>
      <xdr:rowOff>188595</xdr:rowOff>
    </xdr:from>
    <xdr:to>
      <xdr:col>4</xdr:col>
      <xdr:colOff>26670</xdr:colOff>
      <xdr:row>6</xdr:row>
      <xdr:rowOff>188595</xdr:rowOff>
    </xdr:to>
    <xdr:cxnSp macro="">
      <xdr:nvCxnSpPr>
        <xdr:cNvPr id="2197" name="line0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CxnSpPr/>
      </xdr:nvCxnSpPr>
      <xdr:spPr>
        <a:xfrm>
          <a:off x="1595120" y="1150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6</xdr:row>
      <xdr:rowOff>188595</xdr:rowOff>
    </xdr:from>
    <xdr:to>
      <xdr:col>4</xdr:col>
      <xdr:colOff>90170</xdr:colOff>
      <xdr:row>7</xdr:row>
      <xdr:rowOff>188595</xdr:rowOff>
    </xdr:to>
    <xdr:cxnSp macro="">
      <xdr:nvCxnSpPr>
        <xdr:cNvPr id="2198" name="line0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CxnSpPr/>
      </xdr:nvCxnSpPr>
      <xdr:spPr>
        <a:xfrm>
          <a:off x="1607820" y="13411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7</xdr:row>
      <xdr:rowOff>188595</xdr:rowOff>
    </xdr:from>
    <xdr:to>
      <xdr:col>4</xdr:col>
      <xdr:colOff>90170</xdr:colOff>
      <xdr:row>8</xdr:row>
      <xdr:rowOff>188595</xdr:rowOff>
    </xdr:to>
    <xdr:cxnSp macro="">
      <xdr:nvCxnSpPr>
        <xdr:cNvPr id="2199" name="line0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CxnSpPr/>
      </xdr:nvCxnSpPr>
      <xdr:spPr>
        <a:xfrm flipH="1">
          <a:off x="16586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8</xdr:row>
      <xdr:rowOff>188595</xdr:rowOff>
    </xdr:from>
    <xdr:to>
      <xdr:col>4</xdr:col>
      <xdr:colOff>102870</xdr:colOff>
      <xdr:row>9</xdr:row>
      <xdr:rowOff>188595</xdr:rowOff>
    </xdr:to>
    <xdr:cxnSp macro="">
      <xdr:nvCxnSpPr>
        <xdr:cNvPr id="2200" name="line0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CxnSpPr/>
      </xdr:nvCxnSpPr>
      <xdr:spPr>
        <a:xfrm>
          <a:off x="1658620" y="1722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9</xdr:row>
      <xdr:rowOff>188595</xdr:rowOff>
    </xdr:from>
    <xdr:to>
      <xdr:col>4</xdr:col>
      <xdr:colOff>102870</xdr:colOff>
      <xdr:row>10</xdr:row>
      <xdr:rowOff>188595</xdr:rowOff>
    </xdr:to>
    <xdr:cxnSp macro="">
      <xdr:nvCxnSpPr>
        <xdr:cNvPr id="2201" name="line0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CxnSpPr/>
      </xdr:nvCxnSpPr>
      <xdr:spPr>
        <a:xfrm flipH="1">
          <a:off x="1645920" y="1912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10</xdr:row>
      <xdr:rowOff>188595</xdr:rowOff>
    </xdr:from>
    <xdr:to>
      <xdr:col>4</xdr:col>
      <xdr:colOff>64770</xdr:colOff>
      <xdr:row>11</xdr:row>
      <xdr:rowOff>188595</xdr:rowOff>
    </xdr:to>
    <xdr:cxnSp macro="">
      <xdr:nvCxnSpPr>
        <xdr:cNvPr id="2202" name="line0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CxnSpPr/>
      </xdr:nvCxnSpPr>
      <xdr:spPr>
        <a:xfrm>
          <a:off x="1645920" y="2103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11</xdr:row>
      <xdr:rowOff>188595</xdr:rowOff>
    </xdr:from>
    <xdr:to>
      <xdr:col>4</xdr:col>
      <xdr:colOff>77470</xdr:colOff>
      <xdr:row>12</xdr:row>
      <xdr:rowOff>188595</xdr:rowOff>
    </xdr:to>
    <xdr:cxnSp macro="">
      <xdr:nvCxnSpPr>
        <xdr:cNvPr id="2203" name="line0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CxnSpPr/>
      </xdr:nvCxnSpPr>
      <xdr:spPr>
        <a:xfrm>
          <a:off x="16459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12</xdr:row>
      <xdr:rowOff>188595</xdr:rowOff>
    </xdr:from>
    <xdr:to>
      <xdr:col>4</xdr:col>
      <xdr:colOff>77470</xdr:colOff>
      <xdr:row>13</xdr:row>
      <xdr:rowOff>188595</xdr:rowOff>
    </xdr:to>
    <xdr:cxnSp macro="">
      <xdr:nvCxnSpPr>
        <xdr:cNvPr id="2204" name="line0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CxnSpPr/>
      </xdr:nvCxnSpPr>
      <xdr:spPr>
        <a:xfrm flipH="1">
          <a:off x="1607820" y="2484120"/>
          <a:ext cx="508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13</xdr:row>
      <xdr:rowOff>188595</xdr:rowOff>
    </xdr:from>
    <xdr:to>
      <xdr:col>4</xdr:col>
      <xdr:colOff>115570</xdr:colOff>
      <xdr:row>14</xdr:row>
      <xdr:rowOff>188595</xdr:rowOff>
    </xdr:to>
    <xdr:cxnSp macro="">
      <xdr:nvCxnSpPr>
        <xdr:cNvPr id="2205" name="line0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CxnSpPr/>
      </xdr:nvCxnSpPr>
      <xdr:spPr>
        <a:xfrm>
          <a:off x="16078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115570</xdr:colOff>
      <xdr:row>14</xdr:row>
      <xdr:rowOff>188595</xdr:rowOff>
    </xdr:from>
    <xdr:to>
      <xdr:col>4</xdr:col>
      <xdr:colOff>229870</xdr:colOff>
      <xdr:row>15</xdr:row>
      <xdr:rowOff>188595</xdr:rowOff>
    </xdr:to>
    <xdr:cxnSp macro="">
      <xdr:nvCxnSpPr>
        <xdr:cNvPr id="2206" name="line0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CxnSpPr/>
      </xdr:nvCxnSpPr>
      <xdr:spPr>
        <a:xfrm>
          <a:off x="1696720" y="28651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229870</xdr:colOff>
      <xdr:row>15</xdr:row>
      <xdr:rowOff>188595</xdr:rowOff>
    </xdr:from>
    <xdr:to>
      <xdr:col>4</xdr:col>
      <xdr:colOff>433070</xdr:colOff>
      <xdr:row>16</xdr:row>
      <xdr:rowOff>188595</xdr:rowOff>
    </xdr:to>
    <xdr:cxnSp macro="">
      <xdr:nvCxnSpPr>
        <xdr:cNvPr id="2207" name="line0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CxnSpPr/>
      </xdr:nvCxnSpPr>
      <xdr:spPr>
        <a:xfrm>
          <a:off x="1811020" y="30556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433070</xdr:colOff>
      <xdr:row>16</xdr:row>
      <xdr:rowOff>188595</xdr:rowOff>
    </xdr:from>
    <xdr:to>
      <xdr:col>6</xdr:col>
      <xdr:colOff>20320</xdr:colOff>
      <xdr:row>17</xdr:row>
      <xdr:rowOff>188595</xdr:rowOff>
    </xdr:to>
    <xdr:cxnSp macro="">
      <xdr:nvCxnSpPr>
        <xdr:cNvPr id="2208" name="line0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CxnSpPr/>
      </xdr:nvCxnSpPr>
      <xdr:spPr>
        <a:xfrm>
          <a:off x="2014220" y="32461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</xdr:colOff>
      <xdr:row>17</xdr:row>
      <xdr:rowOff>188595</xdr:rowOff>
    </xdr:from>
    <xdr:to>
      <xdr:col>6</xdr:col>
      <xdr:colOff>20320</xdr:colOff>
      <xdr:row>18</xdr:row>
      <xdr:rowOff>188595</xdr:rowOff>
    </xdr:to>
    <xdr:cxnSp macro="">
      <xdr:nvCxnSpPr>
        <xdr:cNvPr id="2209" name="line0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2</xdr:row>
      <xdr:rowOff>140970</xdr:rowOff>
    </xdr:from>
    <xdr:to>
      <xdr:col>4</xdr:col>
      <xdr:colOff>605790</xdr:colOff>
      <xdr:row>2</xdr:row>
      <xdr:rowOff>140970</xdr:rowOff>
    </xdr:to>
    <xdr:cxnSp macro="">
      <xdr:nvCxnSpPr>
        <xdr:cNvPr id="2210" name="line0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297180</xdr:colOff>
      <xdr:row>14</xdr:row>
      <xdr:rowOff>188595</xdr:rowOff>
    </xdr:to>
    <xdr:cxnSp macro="">
      <xdr:nvCxnSpPr>
        <xdr:cNvPr id="2211" name="line0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CxnSpPr/>
      </xdr:nvCxnSpPr>
      <xdr:spPr>
        <a:xfrm>
          <a:off x="18783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3</xdr:row>
      <xdr:rowOff>131445</xdr:rowOff>
    </xdr:from>
    <xdr:to>
      <xdr:col>4</xdr:col>
      <xdr:colOff>487680</xdr:colOff>
      <xdr:row>14</xdr:row>
      <xdr:rowOff>188595</xdr:rowOff>
    </xdr:to>
    <xdr:cxnSp macro="">
      <xdr:nvCxnSpPr>
        <xdr:cNvPr id="2212" name="line0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CxnSpPr/>
      </xdr:nvCxnSpPr>
      <xdr:spPr>
        <a:xfrm>
          <a:off x="20688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487680</xdr:colOff>
      <xdr:row>3</xdr:row>
      <xdr:rowOff>131445</xdr:rowOff>
    </xdr:to>
    <xdr:cxnSp macro="">
      <xdr:nvCxnSpPr>
        <xdr:cNvPr id="2213" name="line0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CxnSpPr/>
      </xdr:nvCxnSpPr>
      <xdr:spPr>
        <a:xfrm>
          <a:off x="1878330" y="7124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14</xdr:row>
      <xdr:rowOff>188595</xdr:rowOff>
    </xdr:from>
    <xdr:to>
      <xdr:col>4</xdr:col>
      <xdr:colOff>487680</xdr:colOff>
      <xdr:row>14</xdr:row>
      <xdr:rowOff>188595</xdr:rowOff>
    </xdr:to>
    <xdr:cxnSp macro="">
      <xdr:nvCxnSpPr>
        <xdr:cNvPr id="2214" name="line0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CxnSpPr/>
      </xdr:nvCxnSpPr>
      <xdr:spPr>
        <a:xfrm>
          <a:off x="1878330" y="2865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13</xdr:row>
      <xdr:rowOff>188595</xdr:rowOff>
    </xdr:from>
    <xdr:to>
      <xdr:col>4</xdr:col>
      <xdr:colOff>605790</xdr:colOff>
      <xdr:row>13</xdr:row>
      <xdr:rowOff>188595</xdr:rowOff>
    </xdr:to>
    <xdr:cxnSp macro="">
      <xdr:nvCxnSpPr>
        <xdr:cNvPr id="2215" name="line0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CxnSpPr/>
      </xdr:nvCxnSpPr>
      <xdr:spPr>
        <a:xfrm>
          <a:off x="1181100" y="2674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14</xdr:row>
      <xdr:rowOff>188595</xdr:rowOff>
    </xdr:from>
    <xdr:to>
      <xdr:col>4</xdr:col>
      <xdr:colOff>605790</xdr:colOff>
      <xdr:row>14</xdr:row>
      <xdr:rowOff>188595</xdr:rowOff>
    </xdr:to>
    <xdr:cxnSp macro="">
      <xdr:nvCxnSpPr>
        <xdr:cNvPr id="2240" name="line0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CxnSpPr/>
      </xdr:nvCxnSpPr>
      <xdr:spPr>
        <a:xfrm>
          <a:off x="1181100" y="28651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15</xdr:row>
      <xdr:rowOff>188595</xdr:rowOff>
    </xdr:from>
    <xdr:to>
      <xdr:col>4</xdr:col>
      <xdr:colOff>605790</xdr:colOff>
      <xdr:row>15</xdr:row>
      <xdr:rowOff>188595</xdr:rowOff>
    </xdr:to>
    <xdr:cxnSp macro="">
      <xdr:nvCxnSpPr>
        <xdr:cNvPr id="2241" name="line0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CxnSpPr/>
      </xdr:nvCxnSpPr>
      <xdr:spPr>
        <a:xfrm>
          <a:off x="1181100" y="3055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39370</xdr:colOff>
      <xdr:row>3</xdr:row>
      <xdr:rowOff>188595</xdr:rowOff>
    </xdr:from>
    <xdr:to>
      <xdr:col>4</xdr:col>
      <xdr:colOff>39370</xdr:colOff>
      <xdr:row>4</xdr:row>
      <xdr:rowOff>188595</xdr:rowOff>
    </xdr:to>
    <xdr:cxnSp macro="">
      <xdr:nvCxnSpPr>
        <xdr:cNvPr id="7178" name="line01">
          <a:extLst>
            <a:ext uri="{FF2B5EF4-FFF2-40B4-BE49-F238E27FC236}">
              <a16:creationId xmlns:a16="http://schemas.microsoft.com/office/drawing/2014/main" id="{00000000-0008-0000-0100-00000A1C0000}"/>
            </a:ext>
          </a:extLst>
        </xdr:cNvPr>
        <xdr:cNvCxnSpPr/>
      </xdr:nvCxnSpPr>
      <xdr:spPr>
        <a:xfrm>
          <a:off x="1620520" y="769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4</xdr:row>
      <xdr:rowOff>188595</xdr:rowOff>
    </xdr:from>
    <xdr:to>
      <xdr:col>4</xdr:col>
      <xdr:colOff>39370</xdr:colOff>
      <xdr:row>5</xdr:row>
      <xdr:rowOff>188595</xdr:rowOff>
    </xdr:to>
    <xdr:cxnSp macro="">
      <xdr:nvCxnSpPr>
        <xdr:cNvPr id="7179" name="line01">
          <a:extLst>
            <a:ext uri="{FF2B5EF4-FFF2-40B4-BE49-F238E27FC236}">
              <a16:creationId xmlns:a16="http://schemas.microsoft.com/office/drawing/2014/main" id="{00000000-0008-0000-0100-00000B1C0000}"/>
            </a:ext>
          </a:extLst>
        </xdr:cNvPr>
        <xdr:cNvCxnSpPr/>
      </xdr:nvCxnSpPr>
      <xdr:spPr>
        <a:xfrm flipH="1">
          <a:off x="1607820" y="960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</xdr:colOff>
      <xdr:row>5</xdr:row>
      <xdr:rowOff>188595</xdr:rowOff>
    </xdr:from>
    <xdr:to>
      <xdr:col>4</xdr:col>
      <xdr:colOff>153670</xdr:colOff>
      <xdr:row>6</xdr:row>
      <xdr:rowOff>188595</xdr:rowOff>
    </xdr:to>
    <xdr:cxnSp macro="">
      <xdr:nvCxnSpPr>
        <xdr:cNvPr id="7180" name="line01">
          <a:extLst>
            <a:ext uri="{FF2B5EF4-FFF2-40B4-BE49-F238E27FC236}">
              <a16:creationId xmlns:a16="http://schemas.microsoft.com/office/drawing/2014/main" id="{00000000-0008-0000-0100-00000C1C0000}"/>
            </a:ext>
          </a:extLst>
        </xdr:cNvPr>
        <xdr:cNvCxnSpPr/>
      </xdr:nvCxnSpPr>
      <xdr:spPr>
        <a:xfrm>
          <a:off x="1607820" y="11506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6</xdr:row>
      <xdr:rowOff>188595</xdr:rowOff>
    </xdr:from>
    <xdr:to>
      <xdr:col>4</xdr:col>
      <xdr:colOff>153670</xdr:colOff>
      <xdr:row>7</xdr:row>
      <xdr:rowOff>188595</xdr:rowOff>
    </xdr:to>
    <xdr:cxnSp macro="">
      <xdr:nvCxnSpPr>
        <xdr:cNvPr id="7181" name="line01">
          <a:extLst>
            <a:ext uri="{FF2B5EF4-FFF2-40B4-BE49-F238E27FC236}">
              <a16:creationId xmlns:a16="http://schemas.microsoft.com/office/drawing/2014/main" id="{00000000-0008-0000-0100-00000D1C0000}"/>
            </a:ext>
          </a:extLst>
        </xdr:cNvPr>
        <xdr:cNvCxnSpPr/>
      </xdr:nvCxnSpPr>
      <xdr:spPr>
        <a:xfrm flipH="1">
          <a:off x="1633220" y="13411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7</xdr:row>
      <xdr:rowOff>188595</xdr:rowOff>
    </xdr:from>
    <xdr:to>
      <xdr:col>4</xdr:col>
      <xdr:colOff>64770</xdr:colOff>
      <xdr:row>8</xdr:row>
      <xdr:rowOff>188595</xdr:rowOff>
    </xdr:to>
    <xdr:cxnSp macro="">
      <xdr:nvCxnSpPr>
        <xdr:cNvPr id="7182" name="line01">
          <a:extLst>
            <a:ext uri="{FF2B5EF4-FFF2-40B4-BE49-F238E27FC236}">
              <a16:creationId xmlns:a16="http://schemas.microsoft.com/office/drawing/2014/main" id="{00000000-0008-0000-0100-00000E1C0000}"/>
            </a:ext>
          </a:extLst>
        </xdr:cNvPr>
        <xdr:cNvCxnSpPr/>
      </xdr:nvCxnSpPr>
      <xdr:spPr>
        <a:xfrm>
          <a:off x="16332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8</xdr:row>
      <xdr:rowOff>188595</xdr:rowOff>
    </xdr:from>
    <xdr:to>
      <xdr:col>4</xdr:col>
      <xdr:colOff>77470</xdr:colOff>
      <xdr:row>9</xdr:row>
      <xdr:rowOff>188595</xdr:rowOff>
    </xdr:to>
    <xdr:cxnSp macro="">
      <xdr:nvCxnSpPr>
        <xdr:cNvPr id="7183" name="line01">
          <a:extLst>
            <a:ext uri="{FF2B5EF4-FFF2-40B4-BE49-F238E27FC236}">
              <a16:creationId xmlns:a16="http://schemas.microsoft.com/office/drawing/2014/main" id="{00000000-0008-0000-0100-00000F1C0000}"/>
            </a:ext>
          </a:extLst>
        </xdr:cNvPr>
        <xdr:cNvCxnSpPr/>
      </xdr:nvCxnSpPr>
      <xdr:spPr>
        <a:xfrm>
          <a:off x="1645920" y="1722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77470</xdr:colOff>
      <xdr:row>9</xdr:row>
      <xdr:rowOff>188595</xdr:rowOff>
    </xdr:from>
    <xdr:to>
      <xdr:col>4</xdr:col>
      <xdr:colOff>77470</xdr:colOff>
      <xdr:row>10</xdr:row>
      <xdr:rowOff>188595</xdr:rowOff>
    </xdr:to>
    <xdr:cxnSp macro="">
      <xdr:nvCxnSpPr>
        <xdr:cNvPr id="7184" name="line01">
          <a:extLst>
            <a:ext uri="{FF2B5EF4-FFF2-40B4-BE49-F238E27FC236}">
              <a16:creationId xmlns:a16="http://schemas.microsoft.com/office/drawing/2014/main" id="{00000000-0008-0000-0100-0000101C0000}"/>
            </a:ext>
          </a:extLst>
        </xdr:cNvPr>
        <xdr:cNvCxnSpPr/>
      </xdr:nvCxnSpPr>
      <xdr:spPr>
        <a:xfrm>
          <a:off x="1658620" y="1912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10</xdr:row>
      <xdr:rowOff>188595</xdr:rowOff>
    </xdr:from>
    <xdr:to>
      <xdr:col>4</xdr:col>
      <xdr:colOff>77470</xdr:colOff>
      <xdr:row>11</xdr:row>
      <xdr:rowOff>188595</xdr:rowOff>
    </xdr:to>
    <xdr:cxnSp macro="">
      <xdr:nvCxnSpPr>
        <xdr:cNvPr id="7185" name="line01">
          <a:extLst>
            <a:ext uri="{FF2B5EF4-FFF2-40B4-BE49-F238E27FC236}">
              <a16:creationId xmlns:a16="http://schemas.microsoft.com/office/drawing/2014/main" id="{00000000-0008-0000-0100-0000111C0000}"/>
            </a:ext>
          </a:extLst>
        </xdr:cNvPr>
        <xdr:cNvCxnSpPr/>
      </xdr:nvCxnSpPr>
      <xdr:spPr>
        <a:xfrm flipH="1">
          <a:off x="1633220" y="2103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52070</xdr:colOff>
      <xdr:row>11</xdr:row>
      <xdr:rowOff>188595</xdr:rowOff>
    </xdr:from>
    <xdr:to>
      <xdr:col>4</xdr:col>
      <xdr:colOff>64770</xdr:colOff>
      <xdr:row>12</xdr:row>
      <xdr:rowOff>188595</xdr:rowOff>
    </xdr:to>
    <xdr:cxnSp macro="">
      <xdr:nvCxnSpPr>
        <xdr:cNvPr id="7186" name="line01">
          <a:extLst>
            <a:ext uri="{FF2B5EF4-FFF2-40B4-BE49-F238E27FC236}">
              <a16:creationId xmlns:a16="http://schemas.microsoft.com/office/drawing/2014/main" id="{00000000-0008-0000-0100-0000121C0000}"/>
            </a:ext>
          </a:extLst>
        </xdr:cNvPr>
        <xdr:cNvCxnSpPr/>
      </xdr:nvCxnSpPr>
      <xdr:spPr>
        <a:xfrm>
          <a:off x="163322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</xdr:colOff>
      <xdr:row>12</xdr:row>
      <xdr:rowOff>188595</xdr:rowOff>
    </xdr:from>
    <xdr:to>
      <xdr:col>4</xdr:col>
      <xdr:colOff>90170</xdr:colOff>
      <xdr:row>13</xdr:row>
      <xdr:rowOff>188595</xdr:rowOff>
    </xdr:to>
    <xdr:cxnSp macro="">
      <xdr:nvCxnSpPr>
        <xdr:cNvPr id="7187" name="line01">
          <a:extLst>
            <a:ext uri="{FF2B5EF4-FFF2-40B4-BE49-F238E27FC236}">
              <a16:creationId xmlns:a16="http://schemas.microsoft.com/office/drawing/2014/main" id="{00000000-0008-0000-0100-0000131C0000}"/>
            </a:ext>
          </a:extLst>
        </xdr:cNvPr>
        <xdr:cNvCxnSpPr/>
      </xdr:nvCxnSpPr>
      <xdr:spPr>
        <a:xfrm>
          <a:off x="1645920" y="2484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90170</xdr:colOff>
      <xdr:row>13</xdr:row>
      <xdr:rowOff>188595</xdr:rowOff>
    </xdr:from>
    <xdr:to>
      <xdr:col>4</xdr:col>
      <xdr:colOff>179070</xdr:colOff>
      <xdr:row>14</xdr:row>
      <xdr:rowOff>188595</xdr:rowOff>
    </xdr:to>
    <xdr:cxnSp macro="">
      <xdr:nvCxnSpPr>
        <xdr:cNvPr id="7188" name="line01">
          <a:extLst>
            <a:ext uri="{FF2B5EF4-FFF2-40B4-BE49-F238E27FC236}">
              <a16:creationId xmlns:a16="http://schemas.microsoft.com/office/drawing/2014/main" id="{00000000-0008-0000-0100-0000141C0000}"/>
            </a:ext>
          </a:extLst>
        </xdr:cNvPr>
        <xdr:cNvCxnSpPr/>
      </xdr:nvCxnSpPr>
      <xdr:spPr>
        <a:xfrm>
          <a:off x="167132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179070</xdr:colOff>
      <xdr:row>14</xdr:row>
      <xdr:rowOff>188595</xdr:rowOff>
    </xdr:from>
    <xdr:to>
      <xdr:col>4</xdr:col>
      <xdr:colOff>394970</xdr:colOff>
      <xdr:row>15</xdr:row>
      <xdr:rowOff>188595</xdr:rowOff>
    </xdr:to>
    <xdr:cxnSp macro="">
      <xdr:nvCxnSpPr>
        <xdr:cNvPr id="7189" name="line01">
          <a:extLst>
            <a:ext uri="{FF2B5EF4-FFF2-40B4-BE49-F238E27FC236}">
              <a16:creationId xmlns:a16="http://schemas.microsoft.com/office/drawing/2014/main" id="{00000000-0008-0000-0100-0000151C0000}"/>
            </a:ext>
          </a:extLst>
        </xdr:cNvPr>
        <xdr:cNvCxnSpPr/>
      </xdr:nvCxnSpPr>
      <xdr:spPr>
        <a:xfrm>
          <a:off x="17602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394970</xdr:colOff>
      <xdr:row>15</xdr:row>
      <xdr:rowOff>188595</xdr:rowOff>
    </xdr:from>
    <xdr:to>
      <xdr:col>4</xdr:col>
      <xdr:colOff>610870</xdr:colOff>
      <xdr:row>16</xdr:row>
      <xdr:rowOff>188595</xdr:rowOff>
    </xdr:to>
    <xdr:cxnSp macro="">
      <xdr:nvCxnSpPr>
        <xdr:cNvPr id="7190" name="line01">
          <a:extLst>
            <a:ext uri="{FF2B5EF4-FFF2-40B4-BE49-F238E27FC236}">
              <a16:creationId xmlns:a16="http://schemas.microsoft.com/office/drawing/2014/main" id="{00000000-0008-0000-0100-0000161C0000}"/>
            </a:ext>
          </a:extLst>
        </xdr:cNvPr>
        <xdr:cNvCxnSpPr/>
      </xdr:nvCxnSpPr>
      <xdr:spPr>
        <a:xfrm>
          <a:off x="1976120" y="3055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610870</xdr:colOff>
      <xdr:row>16</xdr:row>
      <xdr:rowOff>188595</xdr:rowOff>
    </xdr:from>
    <xdr:to>
      <xdr:col>6</xdr:col>
      <xdr:colOff>20320</xdr:colOff>
      <xdr:row>17</xdr:row>
      <xdr:rowOff>188595</xdr:rowOff>
    </xdr:to>
    <xdr:cxnSp macro="">
      <xdr:nvCxnSpPr>
        <xdr:cNvPr id="7191" name="line01">
          <a:extLst>
            <a:ext uri="{FF2B5EF4-FFF2-40B4-BE49-F238E27FC236}">
              <a16:creationId xmlns:a16="http://schemas.microsoft.com/office/drawing/2014/main" id="{00000000-0008-0000-0100-0000171C0000}"/>
            </a:ext>
          </a:extLst>
        </xdr:cNvPr>
        <xdr:cNvCxnSpPr/>
      </xdr:nvCxnSpPr>
      <xdr:spPr>
        <a:xfrm>
          <a:off x="2192020" y="32461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</xdr:colOff>
      <xdr:row>17</xdr:row>
      <xdr:rowOff>188595</xdr:rowOff>
    </xdr:from>
    <xdr:to>
      <xdr:col>6</xdr:col>
      <xdr:colOff>20320</xdr:colOff>
      <xdr:row>18</xdr:row>
      <xdr:rowOff>188595</xdr:rowOff>
    </xdr:to>
    <xdr:cxnSp macro="">
      <xdr:nvCxnSpPr>
        <xdr:cNvPr id="7192" name="line01">
          <a:extLst>
            <a:ext uri="{FF2B5EF4-FFF2-40B4-BE49-F238E27FC236}">
              <a16:creationId xmlns:a16="http://schemas.microsoft.com/office/drawing/2014/main" id="{00000000-0008-0000-0100-0000181C0000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2</xdr:row>
      <xdr:rowOff>140970</xdr:rowOff>
    </xdr:from>
    <xdr:to>
      <xdr:col>4</xdr:col>
      <xdr:colOff>605790</xdr:colOff>
      <xdr:row>2</xdr:row>
      <xdr:rowOff>140970</xdr:rowOff>
    </xdr:to>
    <xdr:cxnSp macro="">
      <xdr:nvCxnSpPr>
        <xdr:cNvPr id="7193" name="line01">
          <a:extLst>
            <a:ext uri="{FF2B5EF4-FFF2-40B4-BE49-F238E27FC236}">
              <a16:creationId xmlns:a16="http://schemas.microsoft.com/office/drawing/2014/main" id="{00000000-0008-0000-0100-0000191C0000}"/>
            </a:ext>
          </a:extLst>
        </xdr:cNvPr>
        <xdr:cNvCxnSpPr/>
      </xdr:nvCxnSpPr>
      <xdr:spPr>
        <a:xfrm>
          <a:off x="1181100" y="5219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297180</xdr:colOff>
      <xdr:row>14</xdr:row>
      <xdr:rowOff>188595</xdr:rowOff>
    </xdr:to>
    <xdr:cxnSp macro="">
      <xdr:nvCxnSpPr>
        <xdr:cNvPr id="7194" name="line01">
          <a:extLst>
            <a:ext uri="{FF2B5EF4-FFF2-40B4-BE49-F238E27FC236}">
              <a16:creationId xmlns:a16="http://schemas.microsoft.com/office/drawing/2014/main" id="{00000000-0008-0000-0100-00001A1C0000}"/>
            </a:ext>
          </a:extLst>
        </xdr:cNvPr>
        <xdr:cNvCxnSpPr/>
      </xdr:nvCxnSpPr>
      <xdr:spPr>
        <a:xfrm>
          <a:off x="18783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487680</xdr:colOff>
      <xdr:row>3</xdr:row>
      <xdr:rowOff>131445</xdr:rowOff>
    </xdr:from>
    <xdr:to>
      <xdr:col>4</xdr:col>
      <xdr:colOff>487680</xdr:colOff>
      <xdr:row>14</xdr:row>
      <xdr:rowOff>188595</xdr:rowOff>
    </xdr:to>
    <xdr:cxnSp macro="">
      <xdr:nvCxnSpPr>
        <xdr:cNvPr id="7195" name="line01">
          <a:extLst>
            <a:ext uri="{FF2B5EF4-FFF2-40B4-BE49-F238E27FC236}">
              <a16:creationId xmlns:a16="http://schemas.microsoft.com/office/drawing/2014/main" id="{00000000-0008-0000-0100-00001B1C0000}"/>
            </a:ext>
          </a:extLst>
        </xdr:cNvPr>
        <xdr:cNvCxnSpPr/>
      </xdr:nvCxnSpPr>
      <xdr:spPr>
        <a:xfrm>
          <a:off x="2068830" y="712470"/>
          <a:ext cx="0" cy="21526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3</xdr:row>
      <xdr:rowOff>131445</xdr:rowOff>
    </xdr:from>
    <xdr:to>
      <xdr:col>4</xdr:col>
      <xdr:colOff>487680</xdr:colOff>
      <xdr:row>3</xdr:row>
      <xdr:rowOff>131445</xdr:rowOff>
    </xdr:to>
    <xdr:cxnSp macro="">
      <xdr:nvCxnSpPr>
        <xdr:cNvPr id="7196" name="line01">
          <a:extLst>
            <a:ext uri="{FF2B5EF4-FFF2-40B4-BE49-F238E27FC236}">
              <a16:creationId xmlns:a16="http://schemas.microsoft.com/office/drawing/2014/main" id="{00000000-0008-0000-0100-00001C1C0000}"/>
            </a:ext>
          </a:extLst>
        </xdr:cNvPr>
        <xdr:cNvCxnSpPr/>
      </xdr:nvCxnSpPr>
      <xdr:spPr>
        <a:xfrm>
          <a:off x="1878330" y="7124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297180</xdr:colOff>
      <xdr:row>14</xdr:row>
      <xdr:rowOff>188595</xdr:rowOff>
    </xdr:from>
    <xdr:to>
      <xdr:col>4</xdr:col>
      <xdr:colOff>487680</xdr:colOff>
      <xdr:row>14</xdr:row>
      <xdr:rowOff>188595</xdr:rowOff>
    </xdr:to>
    <xdr:cxnSp macro="">
      <xdr:nvCxnSpPr>
        <xdr:cNvPr id="7197" name="line01">
          <a:extLst>
            <a:ext uri="{FF2B5EF4-FFF2-40B4-BE49-F238E27FC236}">
              <a16:creationId xmlns:a16="http://schemas.microsoft.com/office/drawing/2014/main" id="{00000000-0008-0000-0100-00001D1C0000}"/>
            </a:ext>
          </a:extLst>
        </xdr:cNvPr>
        <xdr:cNvCxnSpPr/>
      </xdr:nvCxnSpPr>
      <xdr:spPr>
        <a:xfrm>
          <a:off x="1878330" y="2865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13</xdr:row>
      <xdr:rowOff>188595</xdr:rowOff>
    </xdr:from>
    <xdr:to>
      <xdr:col>4</xdr:col>
      <xdr:colOff>605790</xdr:colOff>
      <xdr:row>13</xdr:row>
      <xdr:rowOff>188595</xdr:rowOff>
    </xdr:to>
    <xdr:cxnSp macro="">
      <xdr:nvCxnSpPr>
        <xdr:cNvPr id="7198" name="line01">
          <a:extLst>
            <a:ext uri="{FF2B5EF4-FFF2-40B4-BE49-F238E27FC236}">
              <a16:creationId xmlns:a16="http://schemas.microsoft.com/office/drawing/2014/main" id="{00000000-0008-0000-0100-00001E1C0000}"/>
            </a:ext>
          </a:extLst>
        </xdr:cNvPr>
        <xdr:cNvCxnSpPr/>
      </xdr:nvCxnSpPr>
      <xdr:spPr>
        <a:xfrm>
          <a:off x="1181100" y="2674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14</xdr:row>
      <xdr:rowOff>188595</xdr:rowOff>
    </xdr:from>
    <xdr:to>
      <xdr:col>4</xdr:col>
      <xdr:colOff>605790</xdr:colOff>
      <xdr:row>14</xdr:row>
      <xdr:rowOff>188595</xdr:rowOff>
    </xdr:to>
    <xdr:cxnSp macro="">
      <xdr:nvCxnSpPr>
        <xdr:cNvPr id="7199" name="line01">
          <a:extLst>
            <a:ext uri="{FF2B5EF4-FFF2-40B4-BE49-F238E27FC236}">
              <a16:creationId xmlns:a16="http://schemas.microsoft.com/office/drawing/2014/main" id="{00000000-0008-0000-0100-00001F1C0000}"/>
            </a:ext>
          </a:extLst>
        </xdr:cNvPr>
        <xdr:cNvCxnSpPr/>
      </xdr:nvCxnSpPr>
      <xdr:spPr>
        <a:xfrm>
          <a:off x="1181100" y="28651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15</xdr:row>
      <xdr:rowOff>188595</xdr:rowOff>
    </xdr:from>
    <xdr:to>
      <xdr:col>4</xdr:col>
      <xdr:colOff>605790</xdr:colOff>
      <xdr:row>15</xdr:row>
      <xdr:rowOff>188595</xdr:rowOff>
    </xdr:to>
    <xdr:cxnSp macro="">
      <xdr:nvCxnSpPr>
        <xdr:cNvPr id="7200" name="line01">
          <a:extLst>
            <a:ext uri="{FF2B5EF4-FFF2-40B4-BE49-F238E27FC236}">
              <a16:creationId xmlns:a16="http://schemas.microsoft.com/office/drawing/2014/main" id="{00000000-0008-0000-0100-0000201C0000}"/>
            </a:ext>
          </a:extLst>
        </xdr:cNvPr>
        <xdr:cNvCxnSpPr/>
      </xdr:nvCxnSpPr>
      <xdr:spPr>
        <a:xfrm>
          <a:off x="1181100" y="305562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594360</xdr:colOff>
          <xdr:row>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3</xdr:row>
          <xdr:rowOff>76200</xdr:rowOff>
        </xdr:from>
        <xdr:to>
          <xdr:col>10</xdr:col>
          <xdr:colOff>594360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54610</xdr:colOff>
      <xdr:row>3</xdr:row>
      <xdr:rowOff>188595</xdr:rowOff>
    </xdr:from>
    <xdr:to>
      <xdr:col>4</xdr:col>
      <xdr:colOff>54610</xdr:colOff>
      <xdr:row>4</xdr:row>
      <xdr:rowOff>188595</xdr:rowOff>
    </xdr:to>
    <xdr:cxnSp macro="">
      <xdr:nvCxnSpPr>
        <xdr:cNvPr id="48" name="line01">
          <a:extLst>
            <a:ext uri="{FF2B5EF4-FFF2-40B4-BE49-F238E27FC236}">
              <a16:creationId xmlns:a16="http://schemas.microsoft.com/office/drawing/2014/main" id="{6DDE97E8-FFB4-4E6A-9434-8D5A4C14435D}"/>
            </a:ext>
          </a:extLst>
        </xdr:cNvPr>
        <xdr:cNvCxnSpPr/>
      </xdr:nvCxnSpPr>
      <xdr:spPr>
        <a:xfrm>
          <a:off x="1711960" y="769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41910</xdr:colOff>
      <xdr:row>4</xdr:row>
      <xdr:rowOff>188595</xdr:rowOff>
    </xdr:from>
    <xdr:to>
      <xdr:col>4</xdr:col>
      <xdr:colOff>54610</xdr:colOff>
      <xdr:row>5</xdr:row>
      <xdr:rowOff>188595</xdr:rowOff>
    </xdr:to>
    <xdr:cxnSp macro="">
      <xdr:nvCxnSpPr>
        <xdr:cNvPr id="49" name="line01">
          <a:extLst>
            <a:ext uri="{FF2B5EF4-FFF2-40B4-BE49-F238E27FC236}">
              <a16:creationId xmlns:a16="http://schemas.microsoft.com/office/drawing/2014/main" id="{54A814D8-3D66-45C2-B543-ADA3BD81ED8B}"/>
            </a:ext>
          </a:extLst>
        </xdr:cNvPr>
        <xdr:cNvCxnSpPr/>
      </xdr:nvCxnSpPr>
      <xdr:spPr>
        <a:xfrm flipH="1">
          <a:off x="1699260" y="960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41910</xdr:colOff>
      <xdr:row>5</xdr:row>
      <xdr:rowOff>188595</xdr:rowOff>
    </xdr:from>
    <xdr:to>
      <xdr:col>4</xdr:col>
      <xdr:colOff>168910</xdr:colOff>
      <xdr:row>6</xdr:row>
      <xdr:rowOff>188595</xdr:rowOff>
    </xdr:to>
    <xdr:cxnSp macro="">
      <xdr:nvCxnSpPr>
        <xdr:cNvPr id="50" name="line01">
          <a:extLst>
            <a:ext uri="{FF2B5EF4-FFF2-40B4-BE49-F238E27FC236}">
              <a16:creationId xmlns:a16="http://schemas.microsoft.com/office/drawing/2014/main" id="{0B1BF862-2B0B-42E0-B977-C8045B42FC72}"/>
            </a:ext>
          </a:extLst>
        </xdr:cNvPr>
        <xdr:cNvCxnSpPr/>
      </xdr:nvCxnSpPr>
      <xdr:spPr>
        <a:xfrm>
          <a:off x="1699260" y="11506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67310</xdr:colOff>
      <xdr:row>6</xdr:row>
      <xdr:rowOff>188595</xdr:rowOff>
    </xdr:from>
    <xdr:to>
      <xdr:col>4</xdr:col>
      <xdr:colOff>168910</xdr:colOff>
      <xdr:row>7</xdr:row>
      <xdr:rowOff>188595</xdr:rowOff>
    </xdr:to>
    <xdr:cxnSp macro="">
      <xdr:nvCxnSpPr>
        <xdr:cNvPr id="51" name="line01">
          <a:extLst>
            <a:ext uri="{FF2B5EF4-FFF2-40B4-BE49-F238E27FC236}">
              <a16:creationId xmlns:a16="http://schemas.microsoft.com/office/drawing/2014/main" id="{DA3A2E28-BF12-4EA0-98CF-05A976823827}"/>
            </a:ext>
          </a:extLst>
        </xdr:cNvPr>
        <xdr:cNvCxnSpPr/>
      </xdr:nvCxnSpPr>
      <xdr:spPr>
        <a:xfrm flipH="1">
          <a:off x="1724660" y="13411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67310</xdr:colOff>
      <xdr:row>7</xdr:row>
      <xdr:rowOff>188595</xdr:rowOff>
    </xdr:from>
    <xdr:to>
      <xdr:col>4</xdr:col>
      <xdr:colOff>80010</xdr:colOff>
      <xdr:row>8</xdr:row>
      <xdr:rowOff>188595</xdr:rowOff>
    </xdr:to>
    <xdr:cxnSp macro="">
      <xdr:nvCxnSpPr>
        <xdr:cNvPr id="52" name="line01">
          <a:extLst>
            <a:ext uri="{FF2B5EF4-FFF2-40B4-BE49-F238E27FC236}">
              <a16:creationId xmlns:a16="http://schemas.microsoft.com/office/drawing/2014/main" id="{7E97C571-60F1-4E27-B87A-CD9DDADC1DD9}"/>
            </a:ext>
          </a:extLst>
        </xdr:cNvPr>
        <xdr:cNvCxnSpPr/>
      </xdr:nvCxnSpPr>
      <xdr:spPr>
        <a:xfrm>
          <a:off x="172466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80010</xdr:colOff>
      <xdr:row>8</xdr:row>
      <xdr:rowOff>188595</xdr:rowOff>
    </xdr:from>
    <xdr:to>
      <xdr:col>4</xdr:col>
      <xdr:colOff>92710</xdr:colOff>
      <xdr:row>9</xdr:row>
      <xdr:rowOff>188595</xdr:rowOff>
    </xdr:to>
    <xdr:cxnSp macro="">
      <xdr:nvCxnSpPr>
        <xdr:cNvPr id="53" name="line01">
          <a:extLst>
            <a:ext uri="{FF2B5EF4-FFF2-40B4-BE49-F238E27FC236}">
              <a16:creationId xmlns:a16="http://schemas.microsoft.com/office/drawing/2014/main" id="{9BFF3004-F396-4F86-AF54-0E89AE9C5B38}"/>
            </a:ext>
          </a:extLst>
        </xdr:cNvPr>
        <xdr:cNvCxnSpPr/>
      </xdr:nvCxnSpPr>
      <xdr:spPr>
        <a:xfrm>
          <a:off x="1737360" y="1722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92710</xdr:colOff>
      <xdr:row>9</xdr:row>
      <xdr:rowOff>188595</xdr:rowOff>
    </xdr:from>
    <xdr:to>
      <xdr:col>4</xdr:col>
      <xdr:colOff>92710</xdr:colOff>
      <xdr:row>10</xdr:row>
      <xdr:rowOff>188595</xdr:rowOff>
    </xdr:to>
    <xdr:cxnSp macro="">
      <xdr:nvCxnSpPr>
        <xdr:cNvPr id="54" name="line01">
          <a:extLst>
            <a:ext uri="{FF2B5EF4-FFF2-40B4-BE49-F238E27FC236}">
              <a16:creationId xmlns:a16="http://schemas.microsoft.com/office/drawing/2014/main" id="{91545962-0A46-411F-A86D-FA2F5990DFB9}"/>
            </a:ext>
          </a:extLst>
        </xdr:cNvPr>
        <xdr:cNvCxnSpPr/>
      </xdr:nvCxnSpPr>
      <xdr:spPr>
        <a:xfrm>
          <a:off x="1750060" y="1912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67310</xdr:colOff>
      <xdr:row>10</xdr:row>
      <xdr:rowOff>188595</xdr:rowOff>
    </xdr:from>
    <xdr:to>
      <xdr:col>4</xdr:col>
      <xdr:colOff>92710</xdr:colOff>
      <xdr:row>11</xdr:row>
      <xdr:rowOff>188595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1950D05C-1496-4B3B-AE1F-BE59E34D6605}"/>
            </a:ext>
          </a:extLst>
        </xdr:cNvPr>
        <xdr:cNvCxnSpPr/>
      </xdr:nvCxnSpPr>
      <xdr:spPr>
        <a:xfrm flipH="1">
          <a:off x="1724660" y="2103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67310</xdr:colOff>
      <xdr:row>11</xdr:row>
      <xdr:rowOff>188595</xdr:rowOff>
    </xdr:from>
    <xdr:to>
      <xdr:col>4</xdr:col>
      <xdr:colOff>80010</xdr:colOff>
      <xdr:row>12</xdr:row>
      <xdr:rowOff>188595</xdr:rowOff>
    </xdr:to>
    <xdr:cxnSp macro="">
      <xdr:nvCxnSpPr>
        <xdr:cNvPr id="56" name="line01">
          <a:extLst>
            <a:ext uri="{FF2B5EF4-FFF2-40B4-BE49-F238E27FC236}">
              <a16:creationId xmlns:a16="http://schemas.microsoft.com/office/drawing/2014/main" id="{5117703D-B917-46EC-85A2-9561D52A0E11}"/>
            </a:ext>
          </a:extLst>
        </xdr:cNvPr>
        <xdr:cNvCxnSpPr/>
      </xdr:nvCxnSpPr>
      <xdr:spPr>
        <a:xfrm>
          <a:off x="1724660" y="2293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80010</xdr:colOff>
      <xdr:row>12</xdr:row>
      <xdr:rowOff>188595</xdr:rowOff>
    </xdr:from>
    <xdr:to>
      <xdr:col>4</xdr:col>
      <xdr:colOff>105410</xdr:colOff>
      <xdr:row>13</xdr:row>
      <xdr:rowOff>188595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554586CD-5292-408F-8060-FADC42387410}"/>
            </a:ext>
          </a:extLst>
        </xdr:cNvPr>
        <xdr:cNvCxnSpPr/>
      </xdr:nvCxnSpPr>
      <xdr:spPr>
        <a:xfrm>
          <a:off x="1737360" y="24841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105410</xdr:colOff>
      <xdr:row>13</xdr:row>
      <xdr:rowOff>188595</xdr:rowOff>
    </xdr:from>
    <xdr:to>
      <xdr:col>4</xdr:col>
      <xdr:colOff>194310</xdr:colOff>
      <xdr:row>14</xdr:row>
      <xdr:rowOff>188595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15C32A29-A36B-41D8-83CF-3B8299FDA205}"/>
            </a:ext>
          </a:extLst>
        </xdr:cNvPr>
        <xdr:cNvCxnSpPr/>
      </xdr:nvCxnSpPr>
      <xdr:spPr>
        <a:xfrm>
          <a:off x="1762760" y="2674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194310</xdr:colOff>
      <xdr:row>14</xdr:row>
      <xdr:rowOff>188595</xdr:rowOff>
    </xdr:from>
    <xdr:to>
      <xdr:col>4</xdr:col>
      <xdr:colOff>410210</xdr:colOff>
      <xdr:row>15</xdr:row>
      <xdr:rowOff>188595</xdr:rowOff>
    </xdr:to>
    <xdr:cxnSp macro="">
      <xdr:nvCxnSpPr>
        <xdr:cNvPr id="59" name="line01">
          <a:extLst>
            <a:ext uri="{FF2B5EF4-FFF2-40B4-BE49-F238E27FC236}">
              <a16:creationId xmlns:a16="http://schemas.microsoft.com/office/drawing/2014/main" id="{A1EBABB9-3F61-46E6-95BE-8C1B9874FDF8}"/>
            </a:ext>
          </a:extLst>
        </xdr:cNvPr>
        <xdr:cNvCxnSpPr/>
      </xdr:nvCxnSpPr>
      <xdr:spPr>
        <a:xfrm>
          <a:off x="185166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410210</xdr:colOff>
      <xdr:row>15</xdr:row>
      <xdr:rowOff>188595</xdr:rowOff>
    </xdr:from>
    <xdr:to>
      <xdr:col>4</xdr:col>
      <xdr:colOff>626110</xdr:colOff>
      <xdr:row>16</xdr:row>
      <xdr:rowOff>188595</xdr:rowOff>
    </xdr:to>
    <xdr:cxnSp macro="">
      <xdr:nvCxnSpPr>
        <xdr:cNvPr id="60" name="line01">
          <a:extLst>
            <a:ext uri="{FF2B5EF4-FFF2-40B4-BE49-F238E27FC236}">
              <a16:creationId xmlns:a16="http://schemas.microsoft.com/office/drawing/2014/main" id="{F14E12A2-85C6-4F61-9A71-B192496D6A22}"/>
            </a:ext>
          </a:extLst>
        </xdr:cNvPr>
        <xdr:cNvCxnSpPr/>
      </xdr:nvCxnSpPr>
      <xdr:spPr>
        <a:xfrm>
          <a:off x="2067560" y="3055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626110</xdr:colOff>
      <xdr:row>16</xdr:row>
      <xdr:rowOff>188595</xdr:rowOff>
    </xdr:from>
    <xdr:to>
      <xdr:col>5</xdr:col>
      <xdr:colOff>626110</xdr:colOff>
      <xdr:row>17</xdr:row>
      <xdr:rowOff>188595</xdr:rowOff>
    </xdr:to>
    <xdr:cxnSp macro="">
      <xdr:nvCxnSpPr>
        <xdr:cNvPr id="61" name="line01">
          <a:extLst>
            <a:ext uri="{FF2B5EF4-FFF2-40B4-BE49-F238E27FC236}">
              <a16:creationId xmlns:a16="http://schemas.microsoft.com/office/drawing/2014/main" id="{27096418-5E75-4D7D-9AF9-46948A147D25}"/>
            </a:ext>
          </a:extLst>
        </xdr:cNvPr>
        <xdr:cNvCxnSpPr/>
      </xdr:nvCxnSpPr>
      <xdr:spPr>
        <a:xfrm>
          <a:off x="2283460" y="32461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626110</xdr:colOff>
      <xdr:row>17</xdr:row>
      <xdr:rowOff>188595</xdr:rowOff>
    </xdr:from>
    <xdr:to>
      <xdr:col>5</xdr:col>
      <xdr:colOff>626110</xdr:colOff>
      <xdr:row>18</xdr:row>
      <xdr:rowOff>188595</xdr:rowOff>
    </xdr:to>
    <xdr:cxnSp macro="">
      <xdr:nvCxnSpPr>
        <xdr:cNvPr id="62" name="line01">
          <a:extLst>
            <a:ext uri="{FF2B5EF4-FFF2-40B4-BE49-F238E27FC236}">
              <a16:creationId xmlns:a16="http://schemas.microsoft.com/office/drawing/2014/main" id="{2FDD387D-EF60-46E3-9A1C-CEB05BD7E16A}"/>
            </a:ext>
          </a:extLst>
        </xdr:cNvPr>
        <xdr:cNvCxnSpPr/>
      </xdr:nvCxnSpPr>
      <xdr:spPr>
        <a:xfrm>
          <a:off x="293116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</xdr:colOff>
      <xdr:row>2</xdr:row>
      <xdr:rowOff>140970</xdr:rowOff>
    </xdr:from>
    <xdr:to>
      <xdr:col>5</xdr:col>
      <xdr:colOff>7620</xdr:colOff>
      <xdr:row>2</xdr:row>
      <xdr:rowOff>140970</xdr:rowOff>
    </xdr:to>
    <xdr:cxnSp macro="">
      <xdr:nvCxnSpPr>
        <xdr:cNvPr id="63" name="line01">
          <a:extLst>
            <a:ext uri="{FF2B5EF4-FFF2-40B4-BE49-F238E27FC236}">
              <a16:creationId xmlns:a16="http://schemas.microsoft.com/office/drawing/2014/main" id="{8F762E45-664A-413D-84F7-C2736E498B83}"/>
            </a:ext>
          </a:extLst>
        </xdr:cNvPr>
        <xdr:cNvCxnSpPr/>
      </xdr:nvCxnSpPr>
      <xdr:spPr>
        <a:xfrm>
          <a:off x="1249680" y="521970"/>
          <a:ext cx="106299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329565</xdr:colOff>
      <xdr:row>3</xdr:row>
      <xdr:rowOff>131445</xdr:rowOff>
    </xdr:from>
    <xdr:to>
      <xdr:col>4</xdr:col>
      <xdr:colOff>329565</xdr:colOff>
      <xdr:row>15</xdr:row>
      <xdr:rowOff>36195</xdr:rowOff>
    </xdr:to>
    <xdr:cxnSp macro="">
      <xdr:nvCxnSpPr>
        <xdr:cNvPr id="8192" name="line01">
          <a:extLst>
            <a:ext uri="{FF2B5EF4-FFF2-40B4-BE49-F238E27FC236}">
              <a16:creationId xmlns:a16="http://schemas.microsoft.com/office/drawing/2014/main" id="{4E030794-7C89-405B-AC4E-E94E1A8EE0F5}"/>
            </a:ext>
          </a:extLst>
        </xdr:cNvPr>
        <xdr:cNvCxnSpPr/>
      </xdr:nvCxnSpPr>
      <xdr:spPr>
        <a:xfrm>
          <a:off x="1986915" y="712470"/>
          <a:ext cx="0" cy="21907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520065</xdr:colOff>
      <xdr:row>3</xdr:row>
      <xdr:rowOff>131445</xdr:rowOff>
    </xdr:from>
    <xdr:to>
      <xdr:col>4</xdr:col>
      <xdr:colOff>520065</xdr:colOff>
      <xdr:row>15</xdr:row>
      <xdr:rowOff>36195</xdr:rowOff>
    </xdr:to>
    <xdr:cxnSp macro="">
      <xdr:nvCxnSpPr>
        <xdr:cNvPr id="8195" name="line01">
          <a:extLst>
            <a:ext uri="{FF2B5EF4-FFF2-40B4-BE49-F238E27FC236}">
              <a16:creationId xmlns:a16="http://schemas.microsoft.com/office/drawing/2014/main" id="{6C12C30D-71A0-45A2-823C-692BCBF694BA}"/>
            </a:ext>
          </a:extLst>
        </xdr:cNvPr>
        <xdr:cNvCxnSpPr/>
      </xdr:nvCxnSpPr>
      <xdr:spPr>
        <a:xfrm>
          <a:off x="2177415" y="712470"/>
          <a:ext cx="0" cy="21907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329565</xdr:colOff>
      <xdr:row>3</xdr:row>
      <xdr:rowOff>131445</xdr:rowOff>
    </xdr:from>
    <xdr:to>
      <xdr:col>4</xdr:col>
      <xdr:colOff>520065</xdr:colOff>
      <xdr:row>3</xdr:row>
      <xdr:rowOff>131445</xdr:rowOff>
    </xdr:to>
    <xdr:cxnSp macro="">
      <xdr:nvCxnSpPr>
        <xdr:cNvPr id="8196" name="line01">
          <a:extLst>
            <a:ext uri="{FF2B5EF4-FFF2-40B4-BE49-F238E27FC236}">
              <a16:creationId xmlns:a16="http://schemas.microsoft.com/office/drawing/2014/main" id="{56494D16-AA29-4883-B817-64920E2A7093}"/>
            </a:ext>
          </a:extLst>
        </xdr:cNvPr>
        <xdr:cNvCxnSpPr/>
      </xdr:nvCxnSpPr>
      <xdr:spPr>
        <a:xfrm>
          <a:off x="1986915" y="7124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329565</xdr:colOff>
      <xdr:row>15</xdr:row>
      <xdr:rowOff>36195</xdr:rowOff>
    </xdr:from>
    <xdr:to>
      <xdr:col>4</xdr:col>
      <xdr:colOff>520065</xdr:colOff>
      <xdr:row>15</xdr:row>
      <xdr:rowOff>36195</xdr:rowOff>
    </xdr:to>
    <xdr:cxnSp macro="">
      <xdr:nvCxnSpPr>
        <xdr:cNvPr id="8197" name="line01">
          <a:extLst>
            <a:ext uri="{FF2B5EF4-FFF2-40B4-BE49-F238E27FC236}">
              <a16:creationId xmlns:a16="http://schemas.microsoft.com/office/drawing/2014/main" id="{8869AF57-6E8E-427C-AC7F-60BBDA9A8B53}"/>
            </a:ext>
          </a:extLst>
        </xdr:cNvPr>
        <xdr:cNvCxnSpPr/>
      </xdr:nvCxnSpPr>
      <xdr:spPr>
        <a:xfrm>
          <a:off x="1986915" y="29032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</xdr:colOff>
      <xdr:row>14</xdr:row>
      <xdr:rowOff>36195</xdr:rowOff>
    </xdr:from>
    <xdr:to>
      <xdr:col>5</xdr:col>
      <xdr:colOff>7620</xdr:colOff>
      <xdr:row>14</xdr:row>
      <xdr:rowOff>36195</xdr:rowOff>
    </xdr:to>
    <xdr:cxnSp macro="">
      <xdr:nvCxnSpPr>
        <xdr:cNvPr id="8198" name="line01">
          <a:extLst>
            <a:ext uri="{FF2B5EF4-FFF2-40B4-BE49-F238E27FC236}">
              <a16:creationId xmlns:a16="http://schemas.microsoft.com/office/drawing/2014/main" id="{DBB83265-B943-47E0-AD2B-50D070457977}"/>
            </a:ext>
          </a:extLst>
        </xdr:cNvPr>
        <xdr:cNvCxnSpPr/>
      </xdr:nvCxnSpPr>
      <xdr:spPr>
        <a:xfrm>
          <a:off x="1249680" y="2712720"/>
          <a:ext cx="106299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</xdr:colOff>
      <xdr:row>15</xdr:row>
      <xdr:rowOff>36195</xdr:rowOff>
    </xdr:from>
    <xdr:to>
      <xdr:col>5</xdr:col>
      <xdr:colOff>7620</xdr:colOff>
      <xdr:row>15</xdr:row>
      <xdr:rowOff>36195</xdr:rowOff>
    </xdr:to>
    <xdr:cxnSp macro="">
      <xdr:nvCxnSpPr>
        <xdr:cNvPr id="8199" name="line01">
          <a:extLst>
            <a:ext uri="{FF2B5EF4-FFF2-40B4-BE49-F238E27FC236}">
              <a16:creationId xmlns:a16="http://schemas.microsoft.com/office/drawing/2014/main" id="{1C4EB77A-6A51-4016-9D7B-5849442E35E1}"/>
            </a:ext>
          </a:extLst>
        </xdr:cNvPr>
        <xdr:cNvCxnSpPr/>
      </xdr:nvCxnSpPr>
      <xdr:spPr>
        <a:xfrm>
          <a:off x="1249680" y="2903220"/>
          <a:ext cx="106299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</xdr:colOff>
      <xdr:row>16</xdr:row>
      <xdr:rowOff>36195</xdr:rowOff>
    </xdr:from>
    <xdr:to>
      <xdr:col>5</xdr:col>
      <xdr:colOff>7620</xdr:colOff>
      <xdr:row>16</xdr:row>
      <xdr:rowOff>36195</xdr:rowOff>
    </xdr:to>
    <xdr:cxnSp macro="">
      <xdr:nvCxnSpPr>
        <xdr:cNvPr id="8200" name="line01">
          <a:extLst>
            <a:ext uri="{FF2B5EF4-FFF2-40B4-BE49-F238E27FC236}">
              <a16:creationId xmlns:a16="http://schemas.microsoft.com/office/drawing/2014/main" id="{C1BFDD2F-9D21-485E-B7A5-48E8BC70258E}"/>
            </a:ext>
          </a:extLst>
        </xdr:cNvPr>
        <xdr:cNvCxnSpPr/>
      </xdr:nvCxnSpPr>
      <xdr:spPr>
        <a:xfrm>
          <a:off x="1249680" y="3093720"/>
          <a:ext cx="106299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144780</xdr:rowOff>
        </xdr:from>
        <xdr:to>
          <xdr:col>6</xdr:col>
          <xdr:colOff>15240</xdr:colOff>
          <xdr:row>3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</xdr:row>
          <xdr:rowOff>129540</xdr:rowOff>
        </xdr:from>
        <xdr:to>
          <xdr:col>8</xdr:col>
          <xdr:colOff>556260</xdr:colOff>
          <xdr:row>2</xdr:row>
          <xdr:rowOff>129540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12700</xdr:colOff>
      <xdr:row>4</xdr:row>
      <xdr:rowOff>0</xdr:rowOff>
    </xdr:from>
    <xdr:to>
      <xdr:col>4</xdr:col>
      <xdr:colOff>12700</xdr:colOff>
      <xdr:row>5</xdr:row>
      <xdr:rowOff>0</xdr:rowOff>
    </xdr:to>
    <xdr:cxnSp macro="">
      <xdr:nvCxnSpPr>
        <xdr:cNvPr id="34" name="line01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1841500" y="6934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5</xdr:row>
      <xdr:rowOff>0</xdr:rowOff>
    </xdr:from>
    <xdr:to>
      <xdr:col>4</xdr:col>
      <xdr:colOff>25400</xdr:colOff>
      <xdr:row>6</xdr:row>
      <xdr:rowOff>0</xdr:rowOff>
    </xdr:to>
    <xdr:cxnSp macro="">
      <xdr:nvCxnSpPr>
        <xdr:cNvPr id="35" name="line01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1841500" y="8839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6</xdr:row>
      <xdr:rowOff>0</xdr:rowOff>
    </xdr:from>
    <xdr:to>
      <xdr:col>4</xdr:col>
      <xdr:colOff>63500</xdr:colOff>
      <xdr:row>7</xdr:row>
      <xdr:rowOff>0</xdr:rowOff>
    </xdr:to>
    <xdr:cxnSp macro="">
      <xdr:nvCxnSpPr>
        <xdr:cNvPr id="36" name="line01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1854200" y="10744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7</xdr:row>
      <xdr:rowOff>0</xdr:rowOff>
    </xdr:from>
    <xdr:to>
      <xdr:col>4</xdr:col>
      <xdr:colOff>63500</xdr:colOff>
      <xdr:row>8</xdr:row>
      <xdr:rowOff>0</xdr:rowOff>
    </xdr:to>
    <xdr:cxnSp macro="">
      <xdr:nvCxnSpPr>
        <xdr:cNvPr id="37" name="line0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H="1">
          <a:off x="1841500" y="126492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8</xdr:row>
      <xdr:rowOff>0</xdr:rowOff>
    </xdr:from>
    <xdr:to>
      <xdr:col>4</xdr:col>
      <xdr:colOff>38100</xdr:colOff>
      <xdr:row>9</xdr:row>
      <xdr:rowOff>0</xdr:rowOff>
    </xdr:to>
    <xdr:cxnSp macro="">
      <xdr:nvCxnSpPr>
        <xdr:cNvPr id="38" name="line0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1841500" y="1432560"/>
          <a:ext cx="254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9</xdr:row>
      <xdr:rowOff>0</xdr:rowOff>
    </xdr:from>
    <xdr:to>
      <xdr:col>4</xdr:col>
      <xdr:colOff>50800</xdr:colOff>
      <xdr:row>10</xdr:row>
      <xdr:rowOff>0</xdr:rowOff>
    </xdr:to>
    <xdr:cxnSp macro="">
      <xdr:nvCxnSpPr>
        <xdr:cNvPr id="39" name="line01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1866900" y="1600200"/>
          <a:ext cx="127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</xdr:colOff>
      <xdr:row>10</xdr:row>
      <xdr:rowOff>0</xdr:rowOff>
    </xdr:from>
    <xdr:to>
      <xdr:col>4</xdr:col>
      <xdr:colOff>139700</xdr:colOff>
      <xdr:row>11</xdr:row>
      <xdr:rowOff>0</xdr:rowOff>
    </xdr:to>
    <xdr:cxnSp macro="">
      <xdr:nvCxnSpPr>
        <xdr:cNvPr id="40" name="line01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1879600" y="1767840"/>
          <a:ext cx="889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139700</xdr:colOff>
      <xdr:row>11</xdr:row>
      <xdr:rowOff>0</xdr:rowOff>
    </xdr:from>
    <xdr:to>
      <xdr:col>4</xdr:col>
      <xdr:colOff>190500</xdr:colOff>
      <xdr:row>12</xdr:row>
      <xdr:rowOff>0</xdr:rowOff>
    </xdr:to>
    <xdr:cxnSp macro="">
      <xdr:nvCxnSpPr>
        <xdr:cNvPr id="41" name="line0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>
          <a:off x="1968500" y="193548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12</xdr:row>
      <xdr:rowOff>0</xdr:rowOff>
    </xdr:from>
    <xdr:to>
      <xdr:col>4</xdr:col>
      <xdr:colOff>203200</xdr:colOff>
      <xdr:row>13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>
          <a:off x="2019300" y="2103120"/>
          <a:ext cx="127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</xdr:colOff>
      <xdr:row>13</xdr:row>
      <xdr:rowOff>0</xdr:rowOff>
    </xdr:from>
    <xdr:to>
      <xdr:col>4</xdr:col>
      <xdr:colOff>203200</xdr:colOff>
      <xdr:row>14</xdr:row>
      <xdr:rowOff>0</xdr:rowOff>
    </xdr:to>
    <xdr:cxnSp macro="">
      <xdr:nvCxnSpPr>
        <xdr:cNvPr id="43" name="line01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 flipH="1">
          <a:off x="1993900" y="2270760"/>
          <a:ext cx="381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14</xdr:row>
      <xdr:rowOff>0</xdr:rowOff>
    </xdr:from>
    <xdr:to>
      <xdr:col>4</xdr:col>
      <xdr:colOff>165100</xdr:colOff>
      <xdr:row>15</xdr:row>
      <xdr:rowOff>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 flipH="1">
          <a:off x="1981200" y="2438400"/>
          <a:ext cx="127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152400</xdr:colOff>
      <xdr:row>15</xdr:row>
      <xdr:rowOff>0</xdr:rowOff>
    </xdr:from>
    <xdr:to>
      <xdr:col>4</xdr:col>
      <xdr:colOff>254000</xdr:colOff>
      <xdr:row>16</xdr:row>
      <xdr:rowOff>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>
          <a:off x="1981200" y="2606040"/>
          <a:ext cx="1016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16</xdr:row>
      <xdr:rowOff>0</xdr:rowOff>
    </xdr:from>
    <xdr:to>
      <xdr:col>4</xdr:col>
      <xdr:colOff>254000</xdr:colOff>
      <xdr:row>17</xdr:row>
      <xdr:rowOff>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 flipH="1">
          <a:off x="2057400" y="2773680"/>
          <a:ext cx="254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17</xdr:row>
      <xdr:rowOff>0</xdr:rowOff>
    </xdr:from>
    <xdr:to>
      <xdr:col>4</xdr:col>
      <xdr:colOff>279400</xdr:colOff>
      <xdr:row>18</xdr:row>
      <xdr:rowOff>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>
          <a:off x="2057400" y="294132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279400</xdr:colOff>
      <xdr:row>18</xdr:row>
      <xdr:rowOff>0</xdr:rowOff>
    </xdr:from>
    <xdr:to>
      <xdr:col>4</xdr:col>
      <xdr:colOff>304800</xdr:colOff>
      <xdr:row>19</xdr:row>
      <xdr:rowOff>0</xdr:rowOff>
    </xdr:to>
    <xdr:cxnSp macro="">
      <xdr:nvCxnSpPr>
        <xdr:cNvPr id="48" name="line0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>
          <a:off x="2108200" y="3108960"/>
          <a:ext cx="254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19</xdr:row>
      <xdr:rowOff>0</xdr:rowOff>
    </xdr:from>
    <xdr:to>
      <xdr:col>4</xdr:col>
      <xdr:colOff>304800</xdr:colOff>
      <xdr:row>20</xdr:row>
      <xdr:rowOff>0</xdr:rowOff>
    </xdr:to>
    <xdr:cxnSp macro="">
      <xdr:nvCxnSpPr>
        <xdr:cNvPr id="49" name="line01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 flipH="1">
          <a:off x="2082800" y="3276600"/>
          <a:ext cx="508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254000</xdr:colOff>
      <xdr:row>20</xdr:row>
      <xdr:rowOff>0</xdr:rowOff>
    </xdr:from>
    <xdr:to>
      <xdr:col>4</xdr:col>
      <xdr:colOff>317500</xdr:colOff>
      <xdr:row>21</xdr:row>
      <xdr:rowOff>0</xdr:rowOff>
    </xdr:to>
    <xdr:cxnSp macro="">
      <xdr:nvCxnSpPr>
        <xdr:cNvPr id="50" name="line01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2082800" y="3444240"/>
          <a:ext cx="635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317500</xdr:colOff>
      <xdr:row>21</xdr:row>
      <xdr:rowOff>0</xdr:rowOff>
    </xdr:from>
    <xdr:to>
      <xdr:col>4</xdr:col>
      <xdr:colOff>317500</xdr:colOff>
      <xdr:row>22</xdr:row>
      <xdr:rowOff>0</xdr:rowOff>
    </xdr:to>
    <xdr:cxnSp macro="">
      <xdr:nvCxnSpPr>
        <xdr:cNvPr id="51" name="line0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2146300" y="3611880"/>
          <a:ext cx="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317500</xdr:colOff>
      <xdr:row>22</xdr:row>
      <xdr:rowOff>0</xdr:rowOff>
    </xdr:from>
    <xdr:to>
      <xdr:col>4</xdr:col>
      <xdr:colOff>635000</xdr:colOff>
      <xdr:row>23</xdr:row>
      <xdr:rowOff>0</xdr:rowOff>
    </xdr:to>
    <xdr:cxnSp macro="">
      <xdr:nvCxnSpPr>
        <xdr:cNvPr id="52" name="line0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2146300" y="3779520"/>
          <a:ext cx="31750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635000</xdr:colOff>
      <xdr:row>23</xdr:row>
      <xdr:rowOff>0</xdr:rowOff>
    </xdr:from>
    <xdr:to>
      <xdr:col>4</xdr:col>
      <xdr:colOff>635000</xdr:colOff>
      <xdr:row>24</xdr:row>
      <xdr:rowOff>0</xdr:rowOff>
    </xdr:to>
    <xdr:cxnSp macro="">
      <xdr:nvCxnSpPr>
        <xdr:cNvPr id="53" name="line01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2463800" y="3947160"/>
          <a:ext cx="0" cy="1676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140208</xdr:rowOff>
    </xdr:from>
    <xdr:to>
      <xdr:col>5</xdr:col>
      <xdr:colOff>0</xdr:colOff>
      <xdr:row>2</xdr:row>
      <xdr:rowOff>140208</xdr:rowOff>
    </xdr:to>
    <xdr:cxnSp macro="">
      <xdr:nvCxnSpPr>
        <xdr:cNvPr id="54" name="line0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371600" y="47548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4</xdr:row>
      <xdr:rowOff>33528</xdr:rowOff>
    </xdr:from>
    <xdr:to>
      <xdr:col>4</xdr:col>
      <xdr:colOff>552450</xdr:colOff>
      <xdr:row>14</xdr:row>
      <xdr:rowOff>132588</xdr:rowOff>
    </xdr:to>
    <xdr:cxnSp macro="">
      <xdr:nvCxnSpPr>
        <xdr:cNvPr id="55" name="line0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2381250" y="726948"/>
          <a:ext cx="0" cy="18440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602742</xdr:colOff>
      <xdr:row>4</xdr:row>
      <xdr:rowOff>33528</xdr:rowOff>
    </xdr:from>
    <xdr:to>
      <xdr:col>4</xdr:col>
      <xdr:colOff>602742</xdr:colOff>
      <xdr:row>14</xdr:row>
      <xdr:rowOff>132588</xdr:rowOff>
    </xdr:to>
    <xdr:cxnSp macro="">
      <xdr:nvCxnSpPr>
        <xdr:cNvPr id="56" name="line01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2431542" y="726948"/>
          <a:ext cx="0" cy="184404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4</xdr:row>
      <xdr:rowOff>33528</xdr:rowOff>
    </xdr:from>
    <xdr:to>
      <xdr:col>4</xdr:col>
      <xdr:colOff>602742</xdr:colOff>
      <xdr:row>4</xdr:row>
      <xdr:rowOff>33528</xdr:rowOff>
    </xdr:to>
    <xdr:cxnSp macro="">
      <xdr:nvCxnSpPr>
        <xdr:cNvPr id="57" name="line01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2381250" y="726948"/>
          <a:ext cx="50292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14</xdr:row>
      <xdr:rowOff>132588</xdr:rowOff>
    </xdr:from>
    <xdr:to>
      <xdr:col>4</xdr:col>
      <xdr:colOff>602742</xdr:colOff>
      <xdr:row>14</xdr:row>
      <xdr:rowOff>132588</xdr:rowOff>
    </xdr:to>
    <xdr:cxnSp macro="">
      <xdr:nvCxnSpPr>
        <xdr:cNvPr id="58" name="line01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2381250" y="2570988"/>
          <a:ext cx="50292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5</xdr:row>
      <xdr:rowOff>94488</xdr:rowOff>
    </xdr:from>
    <xdr:to>
      <xdr:col>5</xdr:col>
      <xdr:colOff>0</xdr:colOff>
      <xdr:row>5</xdr:row>
      <xdr:rowOff>94488</xdr:rowOff>
    </xdr:to>
    <xdr:cxnSp macro="">
      <xdr:nvCxnSpPr>
        <xdr:cNvPr id="59" name="line0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1371600" y="97840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6</xdr:row>
      <xdr:rowOff>71628</xdr:rowOff>
    </xdr:from>
    <xdr:to>
      <xdr:col>5</xdr:col>
      <xdr:colOff>0</xdr:colOff>
      <xdr:row>6</xdr:row>
      <xdr:rowOff>71628</xdr:rowOff>
    </xdr:to>
    <xdr:cxnSp macro="">
      <xdr:nvCxnSpPr>
        <xdr:cNvPr id="60" name="line01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1371600" y="114604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</xdr:row>
      <xdr:rowOff>57150</xdr:rowOff>
    </xdr:from>
    <xdr:to>
      <xdr:col>5</xdr:col>
      <xdr:colOff>0</xdr:colOff>
      <xdr:row>7</xdr:row>
      <xdr:rowOff>57150</xdr:rowOff>
    </xdr:to>
    <xdr:cxnSp macro="">
      <xdr:nvCxnSpPr>
        <xdr:cNvPr id="61" name="line0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1371600" y="1322070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48768</xdr:rowOff>
    </xdr:from>
    <xdr:to>
      <xdr:col>5</xdr:col>
      <xdr:colOff>0</xdr:colOff>
      <xdr:row>8</xdr:row>
      <xdr:rowOff>48768</xdr:rowOff>
    </xdr:to>
    <xdr:cxnSp macro="">
      <xdr:nvCxnSpPr>
        <xdr:cNvPr id="62" name="line0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>
          <a:off x="1371600" y="148132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15</xdr:row>
      <xdr:rowOff>48768</xdr:rowOff>
    </xdr:from>
    <xdr:to>
      <xdr:col>5</xdr:col>
      <xdr:colOff>0</xdr:colOff>
      <xdr:row>15</xdr:row>
      <xdr:rowOff>48768</xdr:rowOff>
    </xdr:to>
    <xdr:cxnSp macro="">
      <xdr:nvCxnSpPr>
        <xdr:cNvPr id="63" name="line01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1371600" y="265480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99060</xdr:rowOff>
    </xdr:from>
    <xdr:to>
      <xdr:col>5</xdr:col>
      <xdr:colOff>0</xdr:colOff>
      <xdr:row>23</xdr:row>
      <xdr:rowOff>99060</xdr:rowOff>
    </xdr:to>
    <xdr:cxnSp macro="">
      <xdr:nvCxnSpPr>
        <xdr:cNvPr id="3072" name="line01">
          <a:extLst>
            <a:ext uri="{FF2B5EF4-FFF2-40B4-BE49-F238E27FC236}">
              <a16:creationId xmlns:a16="http://schemas.microsoft.com/office/drawing/2014/main" id="{00000000-0008-0000-0300-0000000C0000}"/>
            </a:ext>
          </a:extLst>
        </xdr:cNvPr>
        <xdr:cNvCxnSpPr/>
      </xdr:nvCxnSpPr>
      <xdr:spPr>
        <a:xfrm>
          <a:off x="1371600" y="4046220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</xdr:row>
      <xdr:rowOff>140208</xdr:rowOff>
    </xdr:from>
    <xdr:to>
      <xdr:col>5</xdr:col>
      <xdr:colOff>0</xdr:colOff>
      <xdr:row>2</xdr:row>
      <xdr:rowOff>140208</xdr:rowOff>
    </xdr:to>
    <xdr:cxnSp macro="">
      <xdr:nvCxnSpPr>
        <xdr:cNvPr id="3075" name="line01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CxnSpPr/>
      </xdr:nvCxnSpPr>
      <xdr:spPr>
        <a:xfrm>
          <a:off x="1371600" y="475488"/>
          <a:ext cx="156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1:T100"/>
  <sheetViews>
    <sheetView zoomScale="115" zoomScaleNormal="115" workbookViewId="0">
      <selection activeCell="H3" sqref="H3"/>
    </sheetView>
  </sheetViews>
  <sheetFormatPr defaultColWidth="9" defaultRowHeight="15" x14ac:dyDescent="0.55000000000000004"/>
  <cols>
    <col min="1" max="1" width="4.68359375" style="9" customWidth="1"/>
    <col min="2" max="2" width="6.89453125" style="9" customWidth="1"/>
    <col min="3" max="4" width="5.68359375" style="9" customWidth="1"/>
    <col min="5" max="12" width="9" style="9"/>
    <col min="13" max="13" width="12.89453125" style="9" customWidth="1"/>
    <col min="14" max="16384" width="9" style="9"/>
  </cols>
  <sheetData>
    <row r="1" spans="2:20" x14ac:dyDescent="0.55000000000000004">
      <c r="B1" s="9" t="s">
        <v>101</v>
      </c>
      <c r="E1" s="9" t="s">
        <v>102</v>
      </c>
    </row>
    <row r="2" spans="2:20" x14ac:dyDescent="0.55000000000000004">
      <c r="B2" s="9" t="s">
        <v>2</v>
      </c>
      <c r="C2" s="9" t="s">
        <v>3</v>
      </c>
      <c r="E2" s="12" t="s">
        <v>56</v>
      </c>
      <c r="J2" s="11"/>
      <c r="K2" s="12"/>
    </row>
    <row r="3" spans="2:20" s="10" customFormat="1" ht="15.75" customHeight="1" x14ac:dyDescent="0.55000000000000004">
      <c r="F3" s="17" t="s">
        <v>0</v>
      </c>
      <c r="G3" s="18">
        <v>1000</v>
      </c>
      <c r="I3" s="11" t="s">
        <v>91</v>
      </c>
      <c r="J3" s="12">
        <v>75</v>
      </c>
      <c r="K3"/>
      <c r="L3"/>
      <c r="M3"/>
      <c r="N3"/>
      <c r="O3"/>
      <c r="P3"/>
      <c r="Q3"/>
      <c r="R3"/>
      <c r="S3"/>
      <c r="T3"/>
    </row>
    <row r="4" spans="2:20" x14ac:dyDescent="0.55000000000000004">
      <c r="B4" s="16">
        <v>1.3</v>
      </c>
      <c r="C4" s="16">
        <v>4</v>
      </c>
      <c r="F4" s="16" t="s">
        <v>7</v>
      </c>
      <c r="G4" s="16">
        <v>1</v>
      </c>
      <c r="I4" s="11" t="s">
        <v>92</v>
      </c>
      <c r="J4" s="12">
        <v>10.5</v>
      </c>
      <c r="K4"/>
      <c r="L4"/>
      <c r="M4"/>
      <c r="N4"/>
      <c r="O4"/>
      <c r="P4"/>
      <c r="Q4"/>
      <c r="R4"/>
      <c r="S4"/>
      <c r="T4"/>
    </row>
    <row r="5" spans="2:20" x14ac:dyDescent="0.55000000000000004">
      <c r="B5" s="16">
        <v>2.2999999999999998</v>
      </c>
      <c r="C5" s="16">
        <v>5</v>
      </c>
      <c r="F5" s="16" t="s">
        <v>1</v>
      </c>
      <c r="G5" s="16">
        <v>11.3</v>
      </c>
      <c r="I5" s="11" t="s">
        <v>93</v>
      </c>
      <c r="J5" s="11">
        <f>PI()*(G3/1000)^2/4</f>
        <v>0.78539816339744828</v>
      </c>
      <c r="K5"/>
      <c r="L5"/>
      <c r="M5"/>
      <c r="N5"/>
      <c r="O5"/>
      <c r="P5"/>
      <c r="Q5"/>
      <c r="R5"/>
      <c r="S5"/>
      <c r="T5"/>
    </row>
    <row r="6" spans="2:20" x14ac:dyDescent="0.55000000000000004">
      <c r="B6" s="16">
        <v>3.3</v>
      </c>
      <c r="C6" s="16">
        <v>2</v>
      </c>
      <c r="F6" s="9" t="s">
        <v>5</v>
      </c>
      <c r="G6" s="9">
        <f>G7-G3/1000*H6</f>
        <v>11.3</v>
      </c>
      <c r="H6" s="9">
        <v>1</v>
      </c>
      <c r="I6" s="11" t="s">
        <v>97</v>
      </c>
      <c r="J6" s="9">
        <f>1/3*J3*J4*J5</f>
        <v>206.16701789183017</v>
      </c>
      <c r="K6"/>
      <c r="L6"/>
      <c r="M6"/>
      <c r="N6"/>
      <c r="O6"/>
      <c r="P6"/>
      <c r="Q6"/>
      <c r="R6"/>
      <c r="S6"/>
      <c r="T6"/>
    </row>
    <row r="7" spans="2:20" x14ac:dyDescent="0.55000000000000004">
      <c r="B7" s="16">
        <v>4.3</v>
      </c>
      <c r="C7" s="16">
        <v>3</v>
      </c>
      <c r="F7" s="9" t="s">
        <v>4</v>
      </c>
      <c r="G7" s="9">
        <f>G4+G5</f>
        <v>12.3</v>
      </c>
      <c r="K7"/>
      <c r="L7"/>
      <c r="M7"/>
      <c r="N7"/>
      <c r="O7"/>
      <c r="P7"/>
      <c r="Q7"/>
      <c r="R7"/>
      <c r="S7"/>
      <c r="T7"/>
    </row>
    <row r="8" spans="2:20" x14ac:dyDescent="0.55000000000000004">
      <c r="B8" s="16">
        <v>5.3</v>
      </c>
      <c r="C8" s="16">
        <v>8</v>
      </c>
      <c r="F8" s="9" t="s">
        <v>6</v>
      </c>
      <c r="G8" s="9">
        <f>G7+G3/1000*H8</f>
        <v>13.3</v>
      </c>
      <c r="H8" s="9">
        <v>1</v>
      </c>
      <c r="K8"/>
      <c r="L8"/>
      <c r="M8"/>
      <c r="N8"/>
      <c r="O8"/>
      <c r="P8"/>
      <c r="Q8"/>
      <c r="R8"/>
      <c r="S8"/>
      <c r="T8"/>
    </row>
    <row r="9" spans="2:20" x14ac:dyDescent="0.55000000000000004">
      <c r="B9" s="16">
        <v>6.3</v>
      </c>
      <c r="C9" s="16">
        <v>7</v>
      </c>
      <c r="K9"/>
      <c r="L9"/>
      <c r="M9"/>
      <c r="N9"/>
      <c r="O9"/>
      <c r="P9"/>
      <c r="Q9"/>
      <c r="R9"/>
      <c r="S9"/>
      <c r="T9"/>
    </row>
    <row r="10" spans="2:20" x14ac:dyDescent="0.55000000000000004">
      <c r="B10" s="16">
        <v>7.3</v>
      </c>
      <c r="C10" s="16">
        <v>9</v>
      </c>
      <c r="F10" s="24" t="s">
        <v>57</v>
      </c>
      <c r="G10" s="24" t="s">
        <v>58</v>
      </c>
      <c r="H10" s="24" t="s">
        <v>59</v>
      </c>
      <c r="I10" s="24" t="s">
        <v>60</v>
      </c>
      <c r="J10" s="24" t="s">
        <v>62</v>
      </c>
      <c r="K10"/>
      <c r="L10"/>
      <c r="M10"/>
      <c r="N10"/>
      <c r="O10"/>
      <c r="P10"/>
      <c r="Q10"/>
      <c r="R10"/>
      <c r="S10"/>
      <c r="T10"/>
    </row>
    <row r="11" spans="2:20" x14ac:dyDescent="0.55000000000000004">
      <c r="B11" s="16">
        <v>8.3000000000000007</v>
      </c>
      <c r="C11" s="16">
        <v>6</v>
      </c>
      <c r="F11" s="9">
        <v>11.3</v>
      </c>
      <c r="G11" s="9">
        <v>3</v>
      </c>
    </row>
    <row r="12" spans="2:20" x14ac:dyDescent="0.55000000000000004">
      <c r="B12" s="16">
        <v>9.3000000000000007</v>
      </c>
      <c r="C12" s="16">
        <v>6</v>
      </c>
      <c r="H12" s="9">
        <v>1</v>
      </c>
      <c r="I12" s="9">
        <v>6.5</v>
      </c>
      <c r="J12" s="9">
        <v>6.5</v>
      </c>
    </row>
    <row r="13" spans="2:20" x14ac:dyDescent="0.55000000000000004">
      <c r="B13" s="16">
        <v>10.3</v>
      </c>
      <c r="C13" s="16">
        <v>7</v>
      </c>
      <c r="F13" s="9">
        <v>12.3</v>
      </c>
      <c r="G13" s="9">
        <v>10</v>
      </c>
    </row>
    <row r="14" spans="2:20" x14ac:dyDescent="0.55000000000000004">
      <c r="B14" s="16">
        <v>11.3</v>
      </c>
      <c r="C14" s="16">
        <v>3</v>
      </c>
      <c r="H14" s="9">
        <v>1</v>
      </c>
      <c r="I14" s="9">
        <v>14.5</v>
      </c>
      <c r="J14" s="9">
        <v>14.5</v>
      </c>
    </row>
    <row r="15" spans="2:20" x14ac:dyDescent="0.55000000000000004">
      <c r="B15" s="16">
        <v>12.3</v>
      </c>
      <c r="C15" s="16">
        <v>10</v>
      </c>
      <c r="F15" s="9">
        <v>13.3</v>
      </c>
      <c r="G15" s="9">
        <v>19</v>
      </c>
    </row>
    <row r="16" spans="2:20" x14ac:dyDescent="0.55000000000000004">
      <c r="B16" s="16">
        <v>13.3</v>
      </c>
      <c r="C16" s="16">
        <v>19</v>
      </c>
      <c r="G16" s="11" t="s">
        <v>61</v>
      </c>
      <c r="H16" s="9">
        <v>2</v>
      </c>
      <c r="I16" s="11" t="s">
        <v>63</v>
      </c>
      <c r="J16" s="9">
        <v>21</v>
      </c>
    </row>
    <row r="17" spans="2:10" x14ac:dyDescent="0.55000000000000004">
      <c r="B17" s="16">
        <v>14.3</v>
      </c>
      <c r="C17" s="16">
        <v>35</v>
      </c>
      <c r="I17" s="11" t="s">
        <v>64</v>
      </c>
      <c r="J17" s="9">
        <v>10.5</v>
      </c>
    </row>
    <row r="18" spans="2:10" x14ac:dyDescent="0.55000000000000004">
      <c r="B18" s="16">
        <v>15.3</v>
      </c>
      <c r="C18" s="16">
        <v>100</v>
      </c>
    </row>
    <row r="19" spans="2:10" x14ac:dyDescent="0.55000000000000004">
      <c r="B19" s="16">
        <v>16.3</v>
      </c>
      <c r="C19" s="16">
        <v>100</v>
      </c>
    </row>
    <row r="25" spans="2:10" x14ac:dyDescent="0.55000000000000004">
      <c r="H25" s="9" t="s">
        <v>104</v>
      </c>
    </row>
    <row r="51" spans="6:20" x14ac:dyDescent="0.55000000000000004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6:20" x14ac:dyDescent="0.55000000000000004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6:20" x14ac:dyDescent="0.55000000000000004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6:20" x14ac:dyDescent="0.55000000000000004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6:20" x14ac:dyDescent="0.55000000000000004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6:20" x14ac:dyDescent="0.55000000000000004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6:20" x14ac:dyDescent="0.55000000000000004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6:20" x14ac:dyDescent="0.55000000000000004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6:20" x14ac:dyDescent="0.55000000000000004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6:20" x14ac:dyDescent="0.55000000000000004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6:20" x14ac:dyDescent="0.55000000000000004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6:20" x14ac:dyDescent="0.55000000000000004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6:20" x14ac:dyDescent="0.55000000000000004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6:20" x14ac:dyDescent="0.55000000000000004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6:20" x14ac:dyDescent="0.55000000000000004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6:20" x14ac:dyDescent="0.55000000000000004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6:20" x14ac:dyDescent="0.55000000000000004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6:20" x14ac:dyDescent="0.55000000000000004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6:20" x14ac:dyDescent="0.55000000000000004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6:20" x14ac:dyDescent="0.55000000000000004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6:20" x14ac:dyDescent="0.55000000000000004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6:20" x14ac:dyDescent="0.55000000000000004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6:20" x14ac:dyDescent="0.55000000000000004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6:20" x14ac:dyDescent="0.55000000000000004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6:20" x14ac:dyDescent="0.55000000000000004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6:20" x14ac:dyDescent="0.55000000000000004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6:20" x14ac:dyDescent="0.55000000000000004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6:20" x14ac:dyDescent="0.55000000000000004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6:20" x14ac:dyDescent="0.55000000000000004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6:20" x14ac:dyDescent="0.55000000000000004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6:20" x14ac:dyDescent="0.55000000000000004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6:20" x14ac:dyDescent="0.55000000000000004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6:20" x14ac:dyDescent="0.55000000000000004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6:20" x14ac:dyDescent="0.55000000000000004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6:20" x14ac:dyDescent="0.55000000000000004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6:20" x14ac:dyDescent="0.55000000000000004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6:20" x14ac:dyDescent="0.55000000000000004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ip_N_val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84C0C-A470-430B-AC34-6033CD9C0563}">
  <sheetPr codeName="Sheet15"/>
  <dimension ref="B1:T100"/>
  <sheetViews>
    <sheetView zoomScale="115" zoomScaleNormal="115" workbookViewId="0">
      <selection activeCell="H2" sqref="H2"/>
    </sheetView>
  </sheetViews>
  <sheetFormatPr defaultColWidth="9" defaultRowHeight="15" x14ac:dyDescent="0.55000000000000004"/>
  <cols>
    <col min="1" max="1" width="4.68359375" style="9" customWidth="1"/>
    <col min="2" max="2" width="6.89453125" style="9" customWidth="1"/>
    <col min="3" max="4" width="5.68359375" style="9" customWidth="1"/>
    <col min="5" max="12" width="9" style="9"/>
    <col min="13" max="13" width="12.89453125" style="9" customWidth="1"/>
    <col min="14" max="16384" width="9" style="9"/>
  </cols>
  <sheetData>
    <row r="1" spans="2:20" x14ac:dyDescent="0.55000000000000004">
      <c r="B1" s="9" t="s">
        <v>101</v>
      </c>
      <c r="E1" s="9" t="s">
        <v>103</v>
      </c>
    </row>
    <row r="2" spans="2:20" x14ac:dyDescent="0.55000000000000004">
      <c r="B2" s="9" t="s">
        <v>2</v>
      </c>
      <c r="C2" s="9" t="s">
        <v>3</v>
      </c>
      <c r="E2" s="12" t="s">
        <v>56</v>
      </c>
      <c r="J2" s="11"/>
      <c r="K2" s="12"/>
    </row>
    <row r="3" spans="2:20" s="10" customFormat="1" ht="15.75" customHeight="1" x14ac:dyDescent="0.55000000000000004">
      <c r="F3" s="17" t="s">
        <v>0</v>
      </c>
      <c r="G3" s="18">
        <v>1000</v>
      </c>
      <c r="I3" s="11" t="s">
        <v>91</v>
      </c>
      <c r="J3" s="12">
        <v>75</v>
      </c>
      <c r="K3"/>
      <c r="L3"/>
      <c r="M3"/>
      <c r="N3"/>
      <c r="O3"/>
      <c r="P3"/>
      <c r="Q3"/>
      <c r="R3"/>
      <c r="S3"/>
      <c r="T3"/>
    </row>
    <row r="4" spans="2:20" x14ac:dyDescent="0.55000000000000004">
      <c r="B4" s="26">
        <v>1.3</v>
      </c>
      <c r="C4" s="25">
        <v>4</v>
      </c>
      <c r="F4" s="16" t="s">
        <v>7</v>
      </c>
      <c r="G4" s="16">
        <v>1</v>
      </c>
      <c r="I4" s="11" t="s">
        <v>92</v>
      </c>
      <c r="J4" s="12">
        <v>17.5</v>
      </c>
      <c r="K4"/>
      <c r="L4"/>
      <c r="M4"/>
      <c r="N4"/>
      <c r="O4"/>
      <c r="P4"/>
      <c r="Q4"/>
      <c r="R4"/>
      <c r="S4"/>
      <c r="T4"/>
    </row>
    <row r="5" spans="2:20" x14ac:dyDescent="0.55000000000000004">
      <c r="B5" s="26">
        <v>2.2999999999999998</v>
      </c>
      <c r="C5" s="25">
        <v>4</v>
      </c>
      <c r="F5" s="16" t="s">
        <v>1</v>
      </c>
      <c r="G5" s="16">
        <v>11.3</v>
      </c>
      <c r="I5" s="11" t="s">
        <v>93</v>
      </c>
      <c r="J5" s="11">
        <f>PI()*(G3/1000)^2/4</f>
        <v>0.78539816339744828</v>
      </c>
      <c r="K5"/>
      <c r="L5"/>
      <c r="M5"/>
      <c r="N5"/>
      <c r="O5"/>
      <c r="P5"/>
      <c r="Q5"/>
      <c r="R5"/>
      <c r="S5"/>
      <c r="T5"/>
    </row>
    <row r="6" spans="2:20" x14ac:dyDescent="0.55000000000000004">
      <c r="B6" s="26">
        <v>3.3</v>
      </c>
      <c r="C6" s="25">
        <v>3</v>
      </c>
      <c r="F6" s="9" t="s">
        <v>5</v>
      </c>
      <c r="G6" s="9">
        <f>G7-G3/1000*H6</f>
        <v>11.3</v>
      </c>
      <c r="H6" s="9">
        <v>1</v>
      </c>
      <c r="I6" s="11" t="s">
        <v>97</v>
      </c>
      <c r="J6" s="9">
        <f>1/3*J3*J4*J5</f>
        <v>343.61169648638361</v>
      </c>
      <c r="K6"/>
      <c r="L6"/>
      <c r="M6"/>
      <c r="N6"/>
      <c r="O6"/>
      <c r="P6"/>
      <c r="Q6"/>
      <c r="R6"/>
      <c r="S6"/>
      <c r="T6"/>
    </row>
    <row r="7" spans="2:20" x14ac:dyDescent="0.55000000000000004">
      <c r="B7" s="26">
        <v>4.3</v>
      </c>
      <c r="C7" s="25">
        <v>13</v>
      </c>
      <c r="F7" s="9" t="s">
        <v>4</v>
      </c>
      <c r="G7" s="9">
        <f>G4+G5</f>
        <v>12.3</v>
      </c>
      <c r="K7"/>
      <c r="L7"/>
      <c r="M7"/>
      <c r="N7"/>
      <c r="O7"/>
      <c r="P7"/>
      <c r="Q7"/>
      <c r="R7"/>
      <c r="S7"/>
      <c r="T7"/>
    </row>
    <row r="8" spans="2:20" x14ac:dyDescent="0.55000000000000004">
      <c r="B8" s="26">
        <v>5.3</v>
      </c>
      <c r="C8" s="25">
        <v>5</v>
      </c>
      <c r="F8" s="9" t="s">
        <v>6</v>
      </c>
      <c r="G8" s="9">
        <f>G7+G3/1000*H8</f>
        <v>13.3</v>
      </c>
      <c r="H8" s="9">
        <v>1</v>
      </c>
      <c r="K8"/>
      <c r="L8"/>
      <c r="M8"/>
      <c r="N8"/>
      <c r="O8"/>
      <c r="P8"/>
      <c r="Q8"/>
      <c r="R8"/>
      <c r="S8"/>
      <c r="T8"/>
    </row>
    <row r="9" spans="2:20" x14ac:dyDescent="0.55000000000000004">
      <c r="B9" s="26">
        <v>6.3</v>
      </c>
      <c r="C9" s="25">
        <v>6</v>
      </c>
      <c r="K9"/>
      <c r="L9"/>
      <c r="M9"/>
      <c r="N9"/>
      <c r="O9"/>
      <c r="P9"/>
      <c r="Q9"/>
      <c r="R9"/>
      <c r="S9"/>
      <c r="T9"/>
    </row>
    <row r="10" spans="2:20" x14ac:dyDescent="0.55000000000000004">
      <c r="B10" s="26">
        <v>7.3</v>
      </c>
      <c r="C10" s="25">
        <v>7</v>
      </c>
      <c r="F10" s="24" t="s">
        <v>57</v>
      </c>
      <c r="G10" s="24" t="s">
        <v>3</v>
      </c>
      <c r="H10" s="24" t="s">
        <v>59</v>
      </c>
      <c r="I10" s="24" t="s">
        <v>60</v>
      </c>
      <c r="J10" s="24" t="s">
        <v>62</v>
      </c>
      <c r="K10"/>
      <c r="L10"/>
      <c r="M10"/>
      <c r="N10"/>
      <c r="O10"/>
      <c r="P10"/>
      <c r="Q10"/>
      <c r="R10"/>
      <c r="S10"/>
      <c r="T10"/>
    </row>
    <row r="11" spans="2:20" x14ac:dyDescent="0.55000000000000004">
      <c r="B11" s="26">
        <v>8.3000000000000007</v>
      </c>
      <c r="C11" s="25">
        <v>7</v>
      </c>
      <c r="F11" s="9">
        <v>11.3</v>
      </c>
      <c r="G11" s="9">
        <v>8</v>
      </c>
    </row>
    <row r="12" spans="2:20" x14ac:dyDescent="0.55000000000000004">
      <c r="B12" s="26">
        <v>9.3000000000000007</v>
      </c>
      <c r="C12" s="25">
        <v>5</v>
      </c>
      <c r="H12" s="9">
        <v>1</v>
      </c>
      <c r="I12" s="9">
        <v>11.5</v>
      </c>
      <c r="J12" s="9">
        <v>11.5</v>
      </c>
    </row>
    <row r="13" spans="2:20" x14ac:dyDescent="0.55000000000000004">
      <c r="B13" s="26">
        <v>10.3</v>
      </c>
      <c r="C13" s="25">
        <v>6</v>
      </c>
      <c r="F13" s="9">
        <v>12.3</v>
      </c>
      <c r="G13" s="9">
        <v>15</v>
      </c>
    </row>
    <row r="14" spans="2:20" x14ac:dyDescent="0.55000000000000004">
      <c r="B14" s="26">
        <v>11.3</v>
      </c>
      <c r="C14" s="25">
        <v>8</v>
      </c>
      <c r="H14" s="9">
        <v>1</v>
      </c>
      <c r="I14" s="9">
        <v>23.5</v>
      </c>
      <c r="J14" s="9">
        <v>23.5</v>
      </c>
    </row>
    <row r="15" spans="2:20" x14ac:dyDescent="0.55000000000000004">
      <c r="B15" s="26">
        <v>12.3</v>
      </c>
      <c r="C15" s="25">
        <v>15</v>
      </c>
      <c r="F15" s="9">
        <v>13.3</v>
      </c>
      <c r="G15" s="9">
        <v>32</v>
      </c>
    </row>
    <row r="16" spans="2:20" x14ac:dyDescent="0.55000000000000004">
      <c r="B16" s="26">
        <v>13.3</v>
      </c>
      <c r="C16" s="25">
        <v>32</v>
      </c>
      <c r="G16" s="11" t="s">
        <v>61</v>
      </c>
      <c r="H16" s="9">
        <v>2</v>
      </c>
      <c r="I16" s="11" t="s">
        <v>63</v>
      </c>
      <c r="J16" s="9">
        <v>35</v>
      </c>
    </row>
    <row r="17" spans="2:10" x14ac:dyDescent="0.55000000000000004">
      <c r="B17" s="26">
        <v>14.3</v>
      </c>
      <c r="C17" s="25">
        <v>49</v>
      </c>
      <c r="I17" s="11" t="s">
        <v>64</v>
      </c>
      <c r="J17" s="9">
        <v>17.5</v>
      </c>
    </row>
    <row r="18" spans="2:10" x14ac:dyDescent="0.55000000000000004">
      <c r="B18" s="26">
        <v>15.3</v>
      </c>
      <c r="C18" s="25">
        <v>100</v>
      </c>
    </row>
    <row r="19" spans="2:10" x14ac:dyDescent="0.55000000000000004">
      <c r="B19" s="26">
        <v>16</v>
      </c>
      <c r="C19" s="25">
        <v>100</v>
      </c>
    </row>
    <row r="20" spans="2:10" x14ac:dyDescent="0.55000000000000004">
      <c r="B20" s="16"/>
      <c r="C20" s="16"/>
    </row>
    <row r="21" spans="2:10" x14ac:dyDescent="0.55000000000000004">
      <c r="B21" s="16"/>
      <c r="C21" s="16"/>
    </row>
    <row r="22" spans="2:10" x14ac:dyDescent="0.55000000000000004">
      <c r="B22" s="16"/>
      <c r="C22" s="16"/>
    </row>
    <row r="23" spans="2:10" x14ac:dyDescent="0.55000000000000004">
      <c r="B23" s="16"/>
      <c r="C23" s="16"/>
    </row>
    <row r="24" spans="2:10" x14ac:dyDescent="0.55000000000000004">
      <c r="B24" s="16"/>
      <c r="C24" s="16"/>
    </row>
    <row r="25" spans="2:10" x14ac:dyDescent="0.55000000000000004">
      <c r="B25" s="16"/>
      <c r="C25" s="16"/>
      <c r="H25" s="9" t="s">
        <v>105</v>
      </c>
    </row>
    <row r="26" spans="2:10" x14ac:dyDescent="0.55000000000000004">
      <c r="B26" s="16"/>
      <c r="C26" s="16"/>
    </row>
    <row r="27" spans="2:10" x14ac:dyDescent="0.55000000000000004">
      <c r="B27" s="16"/>
      <c r="C27" s="16"/>
    </row>
    <row r="28" spans="2:10" x14ac:dyDescent="0.55000000000000004">
      <c r="B28" s="16"/>
      <c r="C28" s="16"/>
    </row>
    <row r="29" spans="2:10" x14ac:dyDescent="0.55000000000000004">
      <c r="B29" s="16"/>
      <c r="C29" s="16"/>
    </row>
    <row r="30" spans="2:10" x14ac:dyDescent="0.55000000000000004">
      <c r="B30" s="16"/>
      <c r="C30" s="16"/>
    </row>
    <row r="31" spans="2:10" x14ac:dyDescent="0.55000000000000004">
      <c r="B31" s="16"/>
      <c r="C31" s="16"/>
    </row>
    <row r="51" spans="6:20" x14ac:dyDescent="0.55000000000000004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6:20" x14ac:dyDescent="0.55000000000000004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6:20" x14ac:dyDescent="0.55000000000000004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6:20" x14ac:dyDescent="0.55000000000000004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6:20" x14ac:dyDescent="0.55000000000000004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6:20" x14ac:dyDescent="0.55000000000000004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6:20" x14ac:dyDescent="0.55000000000000004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6:20" x14ac:dyDescent="0.55000000000000004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6:20" x14ac:dyDescent="0.55000000000000004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6:20" x14ac:dyDescent="0.55000000000000004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6:20" x14ac:dyDescent="0.55000000000000004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6:20" x14ac:dyDescent="0.55000000000000004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6:20" x14ac:dyDescent="0.55000000000000004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6:20" x14ac:dyDescent="0.55000000000000004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6:20" x14ac:dyDescent="0.55000000000000004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6:20" x14ac:dyDescent="0.55000000000000004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6:20" x14ac:dyDescent="0.55000000000000004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6:20" x14ac:dyDescent="0.55000000000000004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6:20" x14ac:dyDescent="0.55000000000000004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6:20" x14ac:dyDescent="0.55000000000000004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6:20" x14ac:dyDescent="0.55000000000000004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6:20" x14ac:dyDescent="0.55000000000000004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6:20" x14ac:dyDescent="0.55000000000000004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6:20" x14ac:dyDescent="0.55000000000000004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6:20" x14ac:dyDescent="0.55000000000000004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6:20" x14ac:dyDescent="0.55000000000000004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6:20" x14ac:dyDescent="0.55000000000000004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6:20" x14ac:dyDescent="0.55000000000000004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6:20" x14ac:dyDescent="0.55000000000000004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6:20" x14ac:dyDescent="0.55000000000000004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6:20" x14ac:dyDescent="0.55000000000000004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6:20" x14ac:dyDescent="0.55000000000000004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6:20" x14ac:dyDescent="0.55000000000000004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6:20" x14ac:dyDescent="0.55000000000000004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6:20" x14ac:dyDescent="0.55000000000000004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6:20" x14ac:dyDescent="0.55000000000000004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6:20" x14ac:dyDescent="0.55000000000000004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ip_N_val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06938-23A2-4E89-9B36-386B8FB44059}">
  <sheetPr codeName="Sheet16"/>
  <dimension ref="B1:T100"/>
  <sheetViews>
    <sheetView tabSelected="1" zoomScale="115" zoomScaleNormal="115" workbookViewId="0">
      <selection activeCell="J20" sqref="J20:J22"/>
    </sheetView>
  </sheetViews>
  <sheetFormatPr defaultColWidth="9" defaultRowHeight="15" x14ac:dyDescent="0.55000000000000004"/>
  <cols>
    <col min="1" max="1" width="4.68359375" style="9" customWidth="1"/>
    <col min="2" max="2" width="6.89453125" style="9" customWidth="1"/>
    <col min="3" max="4" width="5.68359375" style="9" customWidth="1"/>
    <col min="5" max="12" width="9" style="9"/>
    <col min="13" max="13" width="12.89453125" style="9" customWidth="1"/>
    <col min="14" max="16384" width="9" style="9"/>
  </cols>
  <sheetData>
    <row r="1" spans="2:20" x14ac:dyDescent="0.55000000000000004">
      <c r="B1" s="9" t="s">
        <v>101</v>
      </c>
      <c r="E1" s="9" t="s">
        <v>103</v>
      </c>
    </row>
    <row r="2" spans="2:20" x14ac:dyDescent="0.55000000000000004">
      <c r="B2" s="9" t="s">
        <v>2</v>
      </c>
      <c r="C2" s="9" t="s">
        <v>3</v>
      </c>
      <c r="E2" s="12" t="s">
        <v>56</v>
      </c>
      <c r="J2" s="11"/>
      <c r="K2" s="12"/>
    </row>
    <row r="3" spans="2:20" s="10" customFormat="1" ht="15.75" customHeight="1" x14ac:dyDescent="0.55000000000000004">
      <c r="F3" s="17" t="s">
        <v>0</v>
      </c>
      <c r="G3" s="18">
        <v>1000</v>
      </c>
      <c r="I3" s="11" t="s">
        <v>91</v>
      </c>
      <c r="J3" s="12">
        <v>75</v>
      </c>
      <c r="K3"/>
      <c r="L3"/>
      <c r="M3"/>
      <c r="N3"/>
      <c r="O3"/>
      <c r="P3"/>
      <c r="Q3"/>
      <c r="R3"/>
      <c r="S3"/>
      <c r="T3"/>
    </row>
    <row r="4" spans="2:20" x14ac:dyDescent="0.55000000000000004">
      <c r="B4" s="9">
        <v>1.3</v>
      </c>
      <c r="C4" s="9">
        <v>4</v>
      </c>
      <c r="F4" s="16" t="s">
        <v>7</v>
      </c>
      <c r="G4" s="16">
        <v>1</v>
      </c>
      <c r="I4" s="11" t="s">
        <v>92</v>
      </c>
      <c r="J4" s="12">
        <v>20</v>
      </c>
      <c r="K4"/>
      <c r="L4"/>
      <c r="M4"/>
      <c r="N4"/>
      <c r="O4"/>
      <c r="P4"/>
      <c r="Q4"/>
      <c r="R4"/>
      <c r="S4"/>
      <c r="T4"/>
    </row>
    <row r="5" spans="2:20" x14ac:dyDescent="0.55000000000000004">
      <c r="B5" s="9">
        <v>2.2999999999999998</v>
      </c>
      <c r="C5" s="9">
        <v>4</v>
      </c>
      <c r="F5" s="16" t="s">
        <v>1</v>
      </c>
      <c r="G5" s="16">
        <v>11.5</v>
      </c>
      <c r="I5" s="11" t="s">
        <v>93</v>
      </c>
      <c r="J5" s="11">
        <f>PI()*(G3/1000)^2/4</f>
        <v>0.78539816339744828</v>
      </c>
      <c r="K5"/>
      <c r="L5"/>
      <c r="M5"/>
      <c r="N5"/>
      <c r="O5"/>
      <c r="P5"/>
      <c r="Q5"/>
      <c r="R5"/>
      <c r="S5"/>
      <c r="T5"/>
    </row>
    <row r="6" spans="2:20" x14ac:dyDescent="0.55000000000000004">
      <c r="B6" s="9">
        <v>3.3</v>
      </c>
      <c r="C6" s="9">
        <v>3</v>
      </c>
      <c r="F6" s="9" t="s">
        <v>5</v>
      </c>
      <c r="G6" s="9">
        <f>G7-G3/1000*H6</f>
        <v>11.5</v>
      </c>
      <c r="H6" s="9">
        <v>1</v>
      </c>
      <c r="I6" s="11" t="s">
        <v>97</v>
      </c>
      <c r="J6" s="9">
        <f>1/3*J3*J4*J5</f>
        <v>392.69908169872411</v>
      </c>
      <c r="K6"/>
      <c r="L6"/>
      <c r="M6"/>
      <c r="N6"/>
      <c r="O6"/>
      <c r="P6"/>
      <c r="Q6"/>
      <c r="R6"/>
      <c r="S6"/>
      <c r="T6"/>
    </row>
    <row r="7" spans="2:20" x14ac:dyDescent="0.55000000000000004">
      <c r="B7" s="9">
        <v>4.3</v>
      </c>
      <c r="C7" s="9">
        <v>13</v>
      </c>
      <c r="F7" s="9" t="s">
        <v>4</v>
      </c>
      <c r="G7" s="9">
        <f>G4+G5</f>
        <v>12.5</v>
      </c>
      <c r="K7"/>
      <c r="L7"/>
      <c r="M7"/>
      <c r="N7"/>
      <c r="O7"/>
      <c r="P7"/>
      <c r="Q7"/>
      <c r="R7"/>
      <c r="S7"/>
      <c r="T7"/>
    </row>
    <row r="8" spans="2:20" x14ac:dyDescent="0.55000000000000004">
      <c r="B8" s="9">
        <v>5.3</v>
      </c>
      <c r="C8" s="9">
        <v>5</v>
      </c>
      <c r="F8" s="9" t="s">
        <v>6</v>
      </c>
      <c r="G8" s="9">
        <f>G7+G3/1000*H8</f>
        <v>13.5</v>
      </c>
      <c r="H8" s="9">
        <v>1</v>
      </c>
      <c r="K8"/>
      <c r="L8"/>
      <c r="M8"/>
      <c r="N8"/>
      <c r="O8"/>
      <c r="P8"/>
      <c r="Q8"/>
      <c r="R8"/>
      <c r="S8"/>
      <c r="T8"/>
    </row>
    <row r="9" spans="2:20" x14ac:dyDescent="0.55000000000000004">
      <c r="B9" s="9">
        <v>6.3</v>
      </c>
      <c r="C9" s="9">
        <v>6</v>
      </c>
      <c r="K9"/>
      <c r="L9"/>
      <c r="M9"/>
      <c r="N9"/>
      <c r="O9"/>
      <c r="P9"/>
      <c r="Q9"/>
      <c r="R9"/>
      <c r="S9"/>
      <c r="T9"/>
    </row>
    <row r="10" spans="2:20" x14ac:dyDescent="0.55000000000000004">
      <c r="B10" s="9">
        <v>7.3</v>
      </c>
      <c r="C10" s="9">
        <v>7</v>
      </c>
      <c r="F10" s="24" t="s">
        <v>57</v>
      </c>
      <c r="G10" s="24" t="s">
        <v>3</v>
      </c>
      <c r="H10" s="24" t="s">
        <v>59</v>
      </c>
      <c r="I10" s="24" t="s">
        <v>60</v>
      </c>
      <c r="J10" s="24" t="s">
        <v>62</v>
      </c>
      <c r="K10"/>
      <c r="L10"/>
      <c r="M10"/>
      <c r="N10"/>
      <c r="O10"/>
      <c r="P10"/>
      <c r="Q10"/>
      <c r="R10"/>
      <c r="S10"/>
      <c r="T10"/>
    </row>
    <row r="11" spans="2:20" x14ac:dyDescent="0.55000000000000004">
      <c r="B11" s="9">
        <v>8.3000000000000007</v>
      </c>
      <c r="C11" s="9">
        <v>7</v>
      </c>
      <c r="F11" s="9">
        <v>11.5</v>
      </c>
      <c r="G11" s="9">
        <v>9.3999996185302734</v>
      </c>
    </row>
    <row r="12" spans="2:20" x14ac:dyDescent="0.55000000000000004">
      <c r="B12" s="9">
        <v>9.3000000000000007</v>
      </c>
      <c r="C12" s="9">
        <v>5</v>
      </c>
      <c r="H12" s="9">
        <v>0.80000000000000071</v>
      </c>
      <c r="I12" s="9">
        <v>12.199999809265137</v>
      </c>
      <c r="J12" s="9">
        <v>9.7600002288818359</v>
      </c>
    </row>
    <row r="13" spans="2:20" x14ac:dyDescent="0.55000000000000004">
      <c r="B13" s="9">
        <v>10.3</v>
      </c>
      <c r="C13" s="9">
        <v>6</v>
      </c>
      <c r="F13" s="9">
        <v>12.3</v>
      </c>
      <c r="G13" s="9">
        <v>15</v>
      </c>
    </row>
    <row r="14" spans="2:20" x14ac:dyDescent="0.55000000000000004">
      <c r="B14" s="9">
        <v>11.3</v>
      </c>
      <c r="C14" s="9">
        <v>8</v>
      </c>
      <c r="H14" s="9">
        <v>0.19999999999999929</v>
      </c>
      <c r="I14" s="9">
        <v>16.699999809265137</v>
      </c>
      <c r="J14" s="9">
        <v>3.3399999141693115</v>
      </c>
    </row>
    <row r="15" spans="2:20" x14ac:dyDescent="0.55000000000000004">
      <c r="B15" s="9">
        <v>12.3</v>
      </c>
      <c r="C15" s="9">
        <v>15</v>
      </c>
      <c r="F15" s="9">
        <v>12.5</v>
      </c>
      <c r="G15" s="9">
        <v>18.399999618530273</v>
      </c>
    </row>
    <row r="16" spans="2:20" x14ac:dyDescent="0.55000000000000004">
      <c r="B16" s="9">
        <v>13.3</v>
      </c>
      <c r="C16" s="9">
        <v>32</v>
      </c>
      <c r="H16" s="9">
        <v>0.80000000000000071</v>
      </c>
      <c r="I16" s="9">
        <v>25.199999809265137</v>
      </c>
      <c r="J16" s="9">
        <v>20.159999847412109</v>
      </c>
    </row>
    <row r="17" spans="2:10" x14ac:dyDescent="0.55000000000000004">
      <c r="B17" s="9">
        <v>14.3</v>
      </c>
      <c r="C17" s="9">
        <v>49</v>
      </c>
      <c r="F17" s="9">
        <v>13.3</v>
      </c>
      <c r="G17" s="9">
        <v>32</v>
      </c>
    </row>
    <row r="18" spans="2:10" x14ac:dyDescent="0.55000000000000004">
      <c r="B18" s="9">
        <v>15.3</v>
      </c>
      <c r="C18" s="9">
        <v>100</v>
      </c>
      <c r="H18" s="9">
        <v>0.19999999999999929</v>
      </c>
      <c r="I18" s="9">
        <v>33.700000762939453</v>
      </c>
      <c r="J18" s="9">
        <v>6.7400002479553223</v>
      </c>
    </row>
    <row r="19" spans="2:10" x14ac:dyDescent="0.55000000000000004">
      <c r="B19" s="9">
        <v>16</v>
      </c>
      <c r="C19" s="9">
        <v>100</v>
      </c>
      <c r="F19" s="9">
        <v>13.5</v>
      </c>
      <c r="G19" s="9">
        <v>35.400001525878906</v>
      </c>
    </row>
    <row r="20" spans="2:10" x14ac:dyDescent="0.55000000000000004">
      <c r="G20" s="11" t="s">
        <v>61</v>
      </c>
      <c r="H20" s="9">
        <v>2</v>
      </c>
      <c r="I20" s="11" t="s">
        <v>63</v>
      </c>
      <c r="J20" s="12">
        <v>40.000003814697266</v>
      </c>
    </row>
    <row r="21" spans="2:10" x14ac:dyDescent="0.55000000000000004">
      <c r="I21" s="11" t="s">
        <v>64</v>
      </c>
      <c r="J21" s="12">
        <v>20.000001907348633</v>
      </c>
    </row>
    <row r="22" spans="2:10" x14ac:dyDescent="0.55000000000000004">
      <c r="I22" s="9" t="s">
        <v>112</v>
      </c>
      <c r="J22" s="12"/>
    </row>
    <row r="51" spans="6:20" x14ac:dyDescent="0.55000000000000004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6:20" x14ac:dyDescent="0.55000000000000004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6:20" x14ac:dyDescent="0.55000000000000004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6:20" x14ac:dyDescent="0.55000000000000004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6:20" x14ac:dyDescent="0.55000000000000004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6:20" x14ac:dyDescent="0.55000000000000004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6:20" x14ac:dyDescent="0.55000000000000004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6:20" x14ac:dyDescent="0.55000000000000004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6:20" x14ac:dyDescent="0.55000000000000004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6:20" x14ac:dyDescent="0.55000000000000004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6:20" x14ac:dyDescent="0.55000000000000004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6:20" x14ac:dyDescent="0.55000000000000004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6:20" x14ac:dyDescent="0.55000000000000004"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6:20" x14ac:dyDescent="0.55000000000000004"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6:20" x14ac:dyDescent="0.55000000000000004"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6:20" x14ac:dyDescent="0.55000000000000004"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6:20" x14ac:dyDescent="0.55000000000000004"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6:20" x14ac:dyDescent="0.55000000000000004"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6:20" x14ac:dyDescent="0.55000000000000004"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6:20" x14ac:dyDescent="0.55000000000000004"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6:20" x14ac:dyDescent="0.55000000000000004"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6:20" x14ac:dyDescent="0.55000000000000004"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6:20" x14ac:dyDescent="0.55000000000000004"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6:20" x14ac:dyDescent="0.55000000000000004"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6:20" x14ac:dyDescent="0.55000000000000004"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6:20" x14ac:dyDescent="0.55000000000000004"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6:20" x14ac:dyDescent="0.55000000000000004"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6:20" x14ac:dyDescent="0.55000000000000004"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6:20" x14ac:dyDescent="0.55000000000000004"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6:20" x14ac:dyDescent="0.55000000000000004"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6:20" x14ac:dyDescent="0.55000000000000004"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6:20" x14ac:dyDescent="0.55000000000000004"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6:20" x14ac:dyDescent="0.55000000000000004"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6:20" x14ac:dyDescent="0.55000000000000004"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6:20" x14ac:dyDescent="0.55000000000000004"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6:20" x14ac:dyDescent="0.55000000000000004"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6:20" x14ac:dyDescent="0.55000000000000004"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594360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IP_NVALUE.AVE_N">
                <anchor moveWithCells="1" sizeWithCells="1">
                  <from>
                    <xdr:col>10</xdr:col>
                    <xdr:colOff>99060</xdr:colOff>
                    <xdr:row>3</xdr:row>
                    <xdr:rowOff>76200</xdr:rowOff>
                  </from>
                  <to>
                    <xdr:col>10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CV100"/>
  <sheetViews>
    <sheetView workbookViewId="0">
      <selection activeCell="B1" sqref="B1"/>
    </sheetView>
  </sheetViews>
  <sheetFormatPr defaultColWidth="9" defaultRowHeight="12.9" x14ac:dyDescent="0.3"/>
  <cols>
    <col min="1" max="4" width="6.68359375" style="1" customWidth="1"/>
    <col min="5" max="5" width="16.1015625" style="1" customWidth="1"/>
    <col min="6" max="7" width="6.68359375" style="1" customWidth="1"/>
    <col min="8" max="8" width="17.3125" style="1" customWidth="1"/>
    <col min="9" max="9" width="8.41796875" style="1" customWidth="1"/>
    <col min="10" max="32" width="8.7890625" style="1" customWidth="1"/>
    <col min="33" max="16384" width="9" style="1"/>
  </cols>
  <sheetData>
    <row r="1" spans="1:100" x14ac:dyDescent="0.3">
      <c r="J1" s="19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100" x14ac:dyDescent="0.3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9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100" x14ac:dyDescent="0.3">
      <c r="B3" s="4" t="s">
        <v>13</v>
      </c>
      <c r="C3" s="4" t="s">
        <v>12</v>
      </c>
      <c r="D3" s="4"/>
      <c r="E3" s="4" t="s">
        <v>83</v>
      </c>
      <c r="J3" s="20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  <c r="V3" s="23"/>
      <c r="W3" s="23"/>
      <c r="X3" s="23"/>
      <c r="Y3" s="21"/>
      <c r="Z3" s="21"/>
    </row>
    <row r="4" spans="1:100" ht="15" x14ac:dyDescent="0.55000000000000004">
      <c r="B4" s="1">
        <v>1.3</v>
      </c>
      <c r="C4" s="1">
        <v>1</v>
      </c>
      <c r="D4" s="5"/>
      <c r="E4" s="4"/>
      <c r="F4" s="4"/>
      <c r="H4" s="17" t="s">
        <v>0</v>
      </c>
      <c r="I4" s="18">
        <v>300</v>
      </c>
      <c r="J4" s="19"/>
      <c r="K4" s="22"/>
      <c r="L4" s="22"/>
      <c r="M4" s="22"/>
      <c r="N4" s="22"/>
      <c r="O4" s="22"/>
      <c r="P4" s="22"/>
      <c r="Q4" s="22"/>
      <c r="R4" s="22"/>
      <c r="S4" s="22"/>
      <c r="T4" s="22"/>
      <c r="U4" s="21"/>
      <c r="V4" s="21"/>
      <c r="W4" s="21"/>
      <c r="X4" s="21"/>
      <c r="Y4" s="21"/>
      <c r="Z4" s="21"/>
    </row>
    <row r="5" spans="1:100" ht="15" x14ac:dyDescent="0.55000000000000004">
      <c r="B5" s="1">
        <v>2.2999999999999998</v>
      </c>
      <c r="C5" s="1">
        <v>1</v>
      </c>
      <c r="D5" s="5"/>
      <c r="E5" s="4"/>
      <c r="F5" s="4"/>
      <c r="H5" s="16" t="s">
        <v>79</v>
      </c>
      <c r="I5" s="18">
        <v>1.5</v>
      </c>
      <c r="J5">
        <v>1</v>
      </c>
      <c r="K5" s="22">
        <v>0</v>
      </c>
      <c r="L5" s="22">
        <v>1.5</v>
      </c>
      <c r="M5" s="22">
        <v>1.1599999666213989</v>
      </c>
      <c r="N5" s="22">
        <v>0</v>
      </c>
      <c r="O5" s="22">
        <v>0.94199999999999995</v>
      </c>
      <c r="P5" s="22">
        <v>0</v>
      </c>
      <c r="Q5" s="22" t="s">
        <v>80</v>
      </c>
      <c r="R5" s="22"/>
      <c r="S5" s="22"/>
      <c r="T5" s="22"/>
      <c r="U5" s="22"/>
      <c r="V5" s="22"/>
      <c r="W5" s="22"/>
      <c r="X5" s="22"/>
      <c r="Y5" s="22"/>
      <c r="Z5" s="22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100" ht="15" x14ac:dyDescent="0.55000000000000004">
      <c r="B6" s="1">
        <f>B5+1</f>
        <v>3.3</v>
      </c>
      <c r="C6" s="1">
        <v>2</v>
      </c>
      <c r="D6" s="5"/>
      <c r="E6" s="4"/>
      <c r="F6" s="4"/>
      <c r="H6" s="9" t="s">
        <v>1</v>
      </c>
      <c r="I6" s="18">
        <v>11</v>
      </c>
      <c r="J6">
        <v>2</v>
      </c>
      <c r="K6" s="22">
        <v>0</v>
      </c>
      <c r="L6" s="22">
        <v>1</v>
      </c>
      <c r="M6" s="22">
        <v>2.690000057220459</v>
      </c>
      <c r="N6" s="22">
        <v>0</v>
      </c>
      <c r="O6" s="22">
        <v>0.94199999999999995</v>
      </c>
      <c r="P6" s="22">
        <v>0</v>
      </c>
      <c r="Q6" s="22" t="s">
        <v>81</v>
      </c>
      <c r="R6" s="22"/>
      <c r="S6" s="22"/>
      <c r="T6" s="22"/>
      <c r="U6" s="22"/>
      <c r="V6" s="22"/>
      <c r="W6" s="22"/>
      <c r="X6" s="22"/>
      <c r="Y6" s="22"/>
      <c r="Z6" s="22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100" ht="15" x14ac:dyDescent="0.55000000000000004">
      <c r="B7" s="1">
        <f>B6+1</f>
        <v>4.3</v>
      </c>
      <c r="C7" s="1">
        <v>5</v>
      </c>
      <c r="D7" s="5"/>
      <c r="E7" s="4"/>
      <c r="F7" s="4"/>
      <c r="H7" s="9" t="s">
        <v>4</v>
      </c>
      <c r="I7" s="10">
        <f>I5+I6</f>
        <v>12.5</v>
      </c>
      <c r="J7">
        <v>3</v>
      </c>
      <c r="K7" s="22">
        <v>6.25</v>
      </c>
      <c r="L7" s="22">
        <v>1.0499999523162842</v>
      </c>
      <c r="M7" s="22">
        <v>3.7999999523162842</v>
      </c>
      <c r="N7" s="22">
        <v>24.937503814697266</v>
      </c>
      <c r="O7" s="22">
        <v>0.94199999999999995</v>
      </c>
      <c r="P7" s="22">
        <v>23.489999771118164</v>
      </c>
      <c r="Q7" s="22" t="s">
        <v>77</v>
      </c>
      <c r="R7" s="22"/>
      <c r="S7" s="22"/>
      <c r="T7" s="22"/>
      <c r="U7" s="22"/>
      <c r="V7" s="22"/>
      <c r="W7" s="22"/>
      <c r="X7" s="22"/>
      <c r="Y7" s="22"/>
      <c r="Z7" s="22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100" x14ac:dyDescent="0.3">
      <c r="B8" s="1">
        <f t="shared" ref="B8:B24" si="0">B7+1</f>
        <v>5.3</v>
      </c>
      <c r="C8" s="1">
        <v>1</v>
      </c>
      <c r="D8" s="5"/>
      <c r="E8" s="4"/>
      <c r="F8" s="4"/>
      <c r="H8" s="1" t="s">
        <v>90</v>
      </c>
      <c r="I8" s="1">
        <v>0.94199999999999995</v>
      </c>
      <c r="J8">
        <v>4</v>
      </c>
      <c r="K8" s="22">
        <v>6.25</v>
      </c>
      <c r="L8" s="22">
        <v>0.94999998807907104</v>
      </c>
      <c r="M8" s="22">
        <v>1.6499999761581421</v>
      </c>
      <c r="N8" s="22">
        <v>9.7812471389770508</v>
      </c>
      <c r="O8" s="22">
        <v>0.94199999999999995</v>
      </c>
      <c r="P8" s="22">
        <v>9.2100000381469727</v>
      </c>
      <c r="Q8" s="22" t="s">
        <v>77</v>
      </c>
      <c r="R8" s="22"/>
      <c r="S8" s="22"/>
      <c r="T8" s="22"/>
      <c r="U8" s="22"/>
      <c r="V8" s="22"/>
      <c r="W8" s="22"/>
      <c r="X8" s="22"/>
      <c r="Y8" s="22"/>
      <c r="Z8" s="22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100" x14ac:dyDescent="0.3">
      <c r="A9"/>
      <c r="B9" s="1">
        <f t="shared" si="0"/>
        <v>6.3</v>
      </c>
      <c r="C9" s="1">
        <v>3</v>
      </c>
      <c r="D9"/>
      <c r="E9"/>
      <c r="G9"/>
      <c r="H9" s="2" t="s">
        <v>96</v>
      </c>
      <c r="I9">
        <v>10.9</v>
      </c>
      <c r="J9">
        <v>5</v>
      </c>
      <c r="K9" s="22">
        <v>0</v>
      </c>
      <c r="L9" s="22">
        <v>6.5</v>
      </c>
      <c r="M9" s="22">
        <v>10.670000076293945</v>
      </c>
      <c r="N9" s="22">
        <v>0</v>
      </c>
      <c r="O9" s="22">
        <v>0.94199999999999995</v>
      </c>
      <c r="P9" s="22">
        <v>0</v>
      </c>
      <c r="Q9" s="22" t="s">
        <v>78</v>
      </c>
      <c r="R9" s="22"/>
      <c r="S9" s="22"/>
      <c r="T9" s="22"/>
      <c r="U9" s="22"/>
      <c r="V9" s="22"/>
      <c r="W9" s="22"/>
      <c r="X9" s="22"/>
      <c r="Y9" s="22"/>
      <c r="Z9" s="22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</row>
    <row r="10" spans="1:100" x14ac:dyDescent="0.3">
      <c r="A10"/>
      <c r="B10" s="1">
        <f t="shared" si="0"/>
        <v>7.3</v>
      </c>
      <c r="C10" s="1">
        <v>4</v>
      </c>
      <c r="D10"/>
      <c r="E10"/>
      <c r="F10"/>
      <c r="G10" s="4" t="s">
        <v>9</v>
      </c>
      <c r="H10" s="4" t="s">
        <v>10</v>
      </c>
      <c r="I10" s="1" t="s">
        <v>84</v>
      </c>
      <c r="J10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</row>
    <row r="11" spans="1:100" x14ac:dyDescent="0.3">
      <c r="A11"/>
      <c r="B11" s="1">
        <f t="shared" si="0"/>
        <v>8.3000000000000007</v>
      </c>
      <c r="C11" s="1">
        <v>11</v>
      </c>
      <c r="D11"/>
      <c r="E11"/>
      <c r="F11"/>
      <c r="G11" s="5">
        <v>3</v>
      </c>
      <c r="H11" s="4" t="s">
        <v>23</v>
      </c>
      <c r="I11" s="4" t="s">
        <v>24</v>
      </c>
      <c r="J11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</row>
    <row r="12" spans="1:100" x14ac:dyDescent="0.3">
      <c r="A12"/>
      <c r="B12" s="1">
        <f t="shared" si="0"/>
        <v>9.3000000000000007</v>
      </c>
      <c r="C12" s="1">
        <v>15</v>
      </c>
      <c r="D12"/>
      <c r="E12"/>
      <c r="F12"/>
      <c r="G12" s="5">
        <v>4</v>
      </c>
      <c r="H12" s="4" t="s">
        <v>27</v>
      </c>
      <c r="I12" s="4" t="s">
        <v>24</v>
      </c>
      <c r="J12"/>
      <c r="K12" s="22" t="s">
        <v>94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</row>
    <row r="13" spans="1:100" x14ac:dyDescent="0.3">
      <c r="A13"/>
      <c r="B13" s="1">
        <f t="shared" si="0"/>
        <v>10.3</v>
      </c>
      <c r="C13" s="1">
        <v>16</v>
      </c>
      <c r="D13"/>
      <c r="E13"/>
      <c r="F13"/>
      <c r="G13" s="5">
        <v>5.05</v>
      </c>
      <c r="H13" s="4" t="s">
        <v>30</v>
      </c>
      <c r="I13" s="4" t="s">
        <v>28</v>
      </c>
      <c r="J13"/>
      <c r="K13" s="22" t="s">
        <v>82</v>
      </c>
      <c r="L13" s="22" t="s">
        <v>87</v>
      </c>
      <c r="M13" s="22" t="s">
        <v>86</v>
      </c>
      <c r="N13" s="22" t="s">
        <v>88</v>
      </c>
      <c r="O13" s="22" t="s">
        <v>89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</row>
    <row r="14" spans="1:100" x14ac:dyDescent="0.3">
      <c r="A14"/>
      <c r="B14" s="1">
        <f t="shared" si="0"/>
        <v>11.3</v>
      </c>
      <c r="C14" s="1">
        <v>13</v>
      </c>
      <c r="D14"/>
      <c r="E14"/>
      <c r="F14"/>
      <c r="G14" s="5">
        <v>6</v>
      </c>
      <c r="H14" s="4" t="s">
        <v>30</v>
      </c>
      <c r="I14" s="4" t="s">
        <v>28</v>
      </c>
      <c r="J14"/>
      <c r="K14" s="22">
        <v>1.5</v>
      </c>
      <c r="L14" s="22">
        <v>1</v>
      </c>
      <c r="M14" s="22">
        <v>0.79999995231628418</v>
      </c>
      <c r="N14" s="22">
        <v>1</v>
      </c>
      <c r="O14" s="22">
        <v>0.79999995231628418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</row>
    <row r="15" spans="1:100" x14ac:dyDescent="0.3">
      <c r="A15"/>
      <c r="B15" s="1">
        <f t="shared" si="0"/>
        <v>12.3</v>
      </c>
      <c r="C15" s="1">
        <v>12</v>
      </c>
      <c r="D15"/>
      <c r="E15"/>
      <c r="F15"/>
      <c r="G15" s="5">
        <v>13</v>
      </c>
      <c r="H15" s="4" t="s">
        <v>34</v>
      </c>
      <c r="I15" s="4" t="s">
        <v>24</v>
      </c>
      <c r="J15"/>
      <c r="K15" s="22">
        <v>2.2999999523162842</v>
      </c>
      <c r="L15" s="22">
        <v>1</v>
      </c>
      <c r="M15" s="22">
        <v>0.70000004768371582</v>
      </c>
      <c r="N15" s="22">
        <v>1.3500000238418579</v>
      </c>
      <c r="O15" s="22">
        <v>0.9450000524520874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</row>
    <row r="16" spans="1:100" x14ac:dyDescent="0.3">
      <c r="A16"/>
      <c r="B16" s="1">
        <f t="shared" si="0"/>
        <v>13.3</v>
      </c>
      <c r="C16" s="1">
        <v>20</v>
      </c>
      <c r="D16"/>
      <c r="E16"/>
      <c r="F16"/>
      <c r="G16" s="5">
        <v>21.3</v>
      </c>
      <c r="H16" s="4" t="s">
        <v>36</v>
      </c>
      <c r="I16" s="4" t="s">
        <v>24</v>
      </c>
      <c r="J16"/>
      <c r="K16" s="22">
        <v>3</v>
      </c>
      <c r="L16" s="22">
        <v>1.7000000476837158</v>
      </c>
      <c r="M16" s="22">
        <v>0</v>
      </c>
      <c r="N16" s="22">
        <v>0</v>
      </c>
      <c r="O16" s="22">
        <v>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</row>
    <row r="17" spans="1:100" x14ac:dyDescent="0.3">
      <c r="A17"/>
      <c r="B17" s="1">
        <f t="shared" si="0"/>
        <v>14.3</v>
      </c>
      <c r="C17" s="1">
        <v>18</v>
      </c>
      <c r="D17"/>
      <c r="E17"/>
      <c r="F17"/>
      <c r="G17"/>
      <c r="H17"/>
      <c r="I17"/>
      <c r="J17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</row>
    <row r="18" spans="1:100" x14ac:dyDescent="0.3">
      <c r="A18"/>
      <c r="B18" s="1">
        <f t="shared" si="0"/>
        <v>15.3</v>
      </c>
      <c r="C18" s="1">
        <v>22</v>
      </c>
      <c r="D18"/>
      <c r="E18"/>
      <c r="F18"/>
      <c r="G18"/>
      <c r="H18"/>
      <c r="I18"/>
      <c r="J18"/>
      <c r="K18" s="22" t="s">
        <v>98</v>
      </c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</row>
    <row r="19" spans="1:100" x14ac:dyDescent="0.3">
      <c r="A19"/>
      <c r="B19" s="1">
        <f t="shared" si="0"/>
        <v>16.3</v>
      </c>
      <c r="C19" s="1">
        <v>24</v>
      </c>
      <c r="D19"/>
      <c r="E19"/>
      <c r="F19"/>
      <c r="G19"/>
      <c r="H19"/>
      <c r="I19"/>
      <c r="J19"/>
      <c r="K19" s="22" t="s">
        <v>82</v>
      </c>
      <c r="L19" s="22" t="s">
        <v>87</v>
      </c>
      <c r="M19" s="22" t="s">
        <v>86</v>
      </c>
      <c r="N19" s="22" t="s">
        <v>88</v>
      </c>
      <c r="O19" s="22" t="s">
        <v>89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</row>
    <row r="20" spans="1:100" x14ac:dyDescent="0.3">
      <c r="A20"/>
      <c r="B20" s="1">
        <f t="shared" si="0"/>
        <v>17.3</v>
      </c>
      <c r="C20" s="1">
        <v>20</v>
      </c>
      <c r="D20"/>
      <c r="E20"/>
      <c r="F20"/>
      <c r="G20"/>
      <c r="H20"/>
      <c r="I20"/>
      <c r="J20"/>
      <c r="K20" s="22">
        <v>3</v>
      </c>
      <c r="L20" s="22">
        <v>1.7000000476837158</v>
      </c>
      <c r="M20" s="22">
        <v>0.29999995231628418</v>
      </c>
      <c r="N20" s="22">
        <v>1.8500000238418579</v>
      </c>
      <c r="O20" s="22">
        <v>0.5549999475479126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</row>
    <row r="21" spans="1:100" x14ac:dyDescent="0.3">
      <c r="A21"/>
      <c r="B21" s="1">
        <f t="shared" si="0"/>
        <v>18.3</v>
      </c>
      <c r="C21" s="1">
        <v>25</v>
      </c>
      <c r="D21"/>
      <c r="E21"/>
      <c r="F21"/>
      <c r="G21"/>
      <c r="H21"/>
      <c r="I21"/>
      <c r="J21"/>
      <c r="K21" s="22">
        <v>3.2999999523162842</v>
      </c>
      <c r="L21" s="22">
        <v>2</v>
      </c>
      <c r="M21" s="22">
        <v>0.70000004768371582</v>
      </c>
      <c r="N21" s="22">
        <v>3.0499999523162842</v>
      </c>
      <c r="O21" s="22">
        <v>2.1350002288818359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</row>
    <row r="22" spans="1:100" x14ac:dyDescent="0.3">
      <c r="A22"/>
      <c r="B22" s="1">
        <f t="shared" si="0"/>
        <v>19.3</v>
      </c>
      <c r="C22" s="1">
        <v>25</v>
      </c>
      <c r="D22"/>
      <c r="E22"/>
      <c r="F22"/>
      <c r="G22"/>
      <c r="H22"/>
      <c r="I22"/>
      <c r="J22"/>
      <c r="K22" s="22">
        <v>4</v>
      </c>
      <c r="L22" s="22">
        <v>4.0999999046325684</v>
      </c>
      <c r="M22" s="22">
        <v>0</v>
      </c>
      <c r="N22" s="22">
        <v>0</v>
      </c>
      <c r="O22" s="22">
        <v>0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</row>
    <row r="23" spans="1:100" x14ac:dyDescent="0.3">
      <c r="A23"/>
      <c r="B23" s="1">
        <f t="shared" si="0"/>
        <v>20.3</v>
      </c>
      <c r="C23" s="1">
        <v>50</v>
      </c>
      <c r="D23"/>
      <c r="E23"/>
      <c r="F23"/>
      <c r="G23"/>
      <c r="H23"/>
      <c r="I23"/>
      <c r="J23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</row>
    <row r="24" spans="1:100" x14ac:dyDescent="0.3">
      <c r="A24"/>
      <c r="B24" s="1">
        <f t="shared" si="0"/>
        <v>21.3</v>
      </c>
      <c r="C24" s="1">
        <v>50</v>
      </c>
      <c r="D24"/>
      <c r="E24"/>
      <c r="F24"/>
      <c r="G24"/>
      <c r="H24"/>
      <c r="I24"/>
      <c r="J24"/>
      <c r="K24" s="22" t="s">
        <v>106</v>
      </c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</row>
    <row r="25" spans="1:100" x14ac:dyDescent="0.3">
      <c r="A25"/>
      <c r="B25"/>
      <c r="C25"/>
      <c r="D25"/>
      <c r="E25"/>
      <c r="F25"/>
      <c r="G25"/>
      <c r="H25"/>
      <c r="I25"/>
      <c r="J25"/>
      <c r="K25" s="22" t="s">
        <v>82</v>
      </c>
      <c r="L25" s="22" t="s">
        <v>87</v>
      </c>
      <c r="M25" s="22" t="s">
        <v>86</v>
      </c>
      <c r="N25" s="22" t="s">
        <v>88</v>
      </c>
      <c r="O25" s="22" t="s">
        <v>89</v>
      </c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</row>
    <row r="26" spans="1:100" x14ac:dyDescent="0.3">
      <c r="A26"/>
      <c r="B26"/>
      <c r="C26"/>
      <c r="D26"/>
      <c r="E26"/>
      <c r="F26"/>
      <c r="G26"/>
      <c r="H26"/>
      <c r="I26"/>
      <c r="J26"/>
      <c r="K26" s="22">
        <v>4</v>
      </c>
      <c r="L26" s="22">
        <v>4.0999999046325684</v>
      </c>
      <c r="M26" s="22">
        <v>0.30000019073486328</v>
      </c>
      <c r="N26" s="22">
        <v>4.5500001907348633</v>
      </c>
      <c r="O26" s="22">
        <v>1.3650009632110596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100" x14ac:dyDescent="0.3">
      <c r="A27"/>
      <c r="B27"/>
      <c r="C27"/>
      <c r="D27"/>
      <c r="E27"/>
      <c r="F27"/>
      <c r="G27"/>
      <c r="H27"/>
      <c r="I27"/>
      <c r="J27"/>
      <c r="K27" s="22">
        <v>4.3000001907348633</v>
      </c>
      <c r="L27" s="22">
        <v>5</v>
      </c>
      <c r="M27" s="22">
        <v>0.75</v>
      </c>
      <c r="N27" s="22">
        <v>3.4999995231628418</v>
      </c>
      <c r="O27" s="22">
        <v>2.6249995231628418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100" x14ac:dyDescent="0.3">
      <c r="A28"/>
      <c r="B28"/>
      <c r="C28"/>
      <c r="D28"/>
      <c r="E28"/>
      <c r="F28"/>
      <c r="G28"/>
      <c r="H28"/>
      <c r="I28"/>
      <c r="J28"/>
      <c r="K28" s="22">
        <v>5.0500001907348633</v>
      </c>
      <c r="L28" s="22">
        <v>1.9999992847442627</v>
      </c>
      <c r="M28" s="22">
        <v>0</v>
      </c>
      <c r="N28" s="22">
        <v>0</v>
      </c>
      <c r="O28" s="22">
        <v>0</v>
      </c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100" x14ac:dyDescent="0.3">
      <c r="A29"/>
      <c r="B29"/>
      <c r="C29"/>
      <c r="D29"/>
      <c r="E29"/>
      <c r="F29"/>
      <c r="G29"/>
      <c r="H29"/>
      <c r="I29"/>
      <c r="J29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100" x14ac:dyDescent="0.3">
      <c r="A30"/>
      <c r="B30"/>
      <c r="C30"/>
      <c r="D30"/>
      <c r="E30"/>
      <c r="F30"/>
      <c r="G30"/>
      <c r="H30"/>
      <c r="I30"/>
      <c r="J30"/>
      <c r="K30" s="22" t="s">
        <v>108</v>
      </c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100" x14ac:dyDescent="0.3">
      <c r="A31"/>
      <c r="B31" t="s">
        <v>94</v>
      </c>
      <c r="C31"/>
      <c r="D31"/>
      <c r="E31"/>
      <c r="F31"/>
      <c r="G31"/>
      <c r="H31"/>
      <c r="I31"/>
      <c r="J31"/>
      <c r="K31" s="22" t="s">
        <v>82</v>
      </c>
      <c r="L31" s="22" t="s">
        <v>87</v>
      </c>
      <c r="M31" s="22" t="s">
        <v>86</v>
      </c>
      <c r="N31" s="22" t="s">
        <v>88</v>
      </c>
      <c r="O31" s="22" t="s">
        <v>89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100" x14ac:dyDescent="0.3">
      <c r="A32"/>
      <c r="B32"/>
      <c r="C32" t="s">
        <v>85</v>
      </c>
      <c r="D32"/>
      <c r="E32"/>
      <c r="F32"/>
      <c r="G32"/>
      <c r="H32"/>
      <c r="I32"/>
      <c r="J32"/>
      <c r="K32" s="22">
        <v>5.0500001907348633</v>
      </c>
      <c r="L32" s="22">
        <v>1.9999992847442627</v>
      </c>
      <c r="M32" s="22">
        <v>0.25</v>
      </c>
      <c r="N32" s="22">
        <v>1.4999996423721313</v>
      </c>
      <c r="O32" s="22">
        <v>0.37499991059303284</v>
      </c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3">
      <c r="A33"/>
      <c r="B33"/>
      <c r="C33"/>
      <c r="D33"/>
      <c r="E33"/>
      <c r="F33"/>
      <c r="G33"/>
      <c r="H33"/>
      <c r="I33"/>
      <c r="J33"/>
      <c r="K33" s="22">
        <v>5.3000001907348633</v>
      </c>
      <c r="L33" s="22">
        <v>1</v>
      </c>
      <c r="M33" s="22">
        <v>0.69999980926513672</v>
      </c>
      <c r="N33" s="22">
        <v>1.7000000476837158</v>
      </c>
      <c r="O33" s="22">
        <v>1.1899996995925903</v>
      </c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3">
      <c r="A34"/>
      <c r="B34" t="s">
        <v>98</v>
      </c>
      <c r="C34"/>
      <c r="D34"/>
      <c r="E34"/>
      <c r="F34"/>
      <c r="G34"/>
      <c r="H34"/>
      <c r="I34"/>
      <c r="J34"/>
      <c r="K34" s="22">
        <v>6</v>
      </c>
      <c r="L34" s="22">
        <v>2.4000000953674316</v>
      </c>
      <c r="M34" s="22">
        <v>0</v>
      </c>
      <c r="N34" s="22">
        <v>0</v>
      </c>
      <c r="O34" s="22">
        <v>0</v>
      </c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3">
      <c r="A35"/>
      <c r="B35"/>
      <c r="C35" t="s">
        <v>99</v>
      </c>
      <c r="D35"/>
      <c r="E35"/>
      <c r="F35"/>
      <c r="G35"/>
      <c r="H35"/>
      <c r="I35"/>
      <c r="J35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3">
      <c r="A36"/>
      <c r="B36"/>
      <c r="C36"/>
      <c r="D36"/>
      <c r="E36"/>
      <c r="F36"/>
      <c r="G36"/>
      <c r="H36"/>
      <c r="I36"/>
      <c r="J36"/>
      <c r="K36" s="22" t="s">
        <v>95</v>
      </c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3">
      <c r="A37"/>
      <c r="B37" t="s">
        <v>106</v>
      </c>
      <c r="C37"/>
      <c r="D37"/>
      <c r="E37"/>
      <c r="F37"/>
      <c r="G37"/>
      <c r="H37"/>
      <c r="I37"/>
      <c r="J37"/>
      <c r="K37" s="22" t="s">
        <v>82</v>
      </c>
      <c r="L37" s="22" t="s">
        <v>87</v>
      </c>
      <c r="M37" s="22" t="s">
        <v>86</v>
      </c>
      <c r="N37" s="22" t="s">
        <v>88</v>
      </c>
      <c r="O37" s="22" t="s">
        <v>89</v>
      </c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3">
      <c r="A38"/>
      <c r="B38"/>
      <c r="C38" t="s">
        <v>107</v>
      </c>
      <c r="D38"/>
      <c r="E38"/>
      <c r="F38"/>
      <c r="G38"/>
      <c r="H38"/>
      <c r="I38"/>
      <c r="J38"/>
      <c r="K38" s="22">
        <v>6</v>
      </c>
      <c r="L38" s="22">
        <v>2.4000000953674316</v>
      </c>
      <c r="M38" s="22">
        <v>0.30000019073486328</v>
      </c>
      <c r="N38" s="22">
        <v>2.7000000476837158</v>
      </c>
      <c r="O38" s="22">
        <v>0.81000053882598877</v>
      </c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3">
      <c r="A39"/>
      <c r="B39"/>
      <c r="C39"/>
      <c r="D39"/>
      <c r="E39"/>
      <c r="F39"/>
      <c r="G39"/>
      <c r="H39"/>
      <c r="I39"/>
      <c r="J39"/>
      <c r="K39" s="22">
        <v>6.3000001907348633</v>
      </c>
      <c r="L39" s="22">
        <v>3</v>
      </c>
      <c r="M39" s="22">
        <v>1</v>
      </c>
      <c r="N39" s="22">
        <v>3.5</v>
      </c>
      <c r="O39" s="22">
        <v>3.5</v>
      </c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3">
      <c r="A40"/>
      <c r="B40" t="s">
        <v>108</v>
      </c>
      <c r="C40"/>
      <c r="D40"/>
      <c r="E40"/>
      <c r="F40"/>
      <c r="G40"/>
      <c r="H40"/>
      <c r="I40"/>
      <c r="J40"/>
      <c r="K40" s="22">
        <v>7.3000001907348633</v>
      </c>
      <c r="L40" s="22">
        <v>4</v>
      </c>
      <c r="M40" s="22">
        <v>1</v>
      </c>
      <c r="N40" s="22">
        <v>7.5</v>
      </c>
      <c r="O40" s="22">
        <v>7.5</v>
      </c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3">
      <c r="A41"/>
      <c r="B41"/>
      <c r="C41" t="s">
        <v>109</v>
      </c>
      <c r="D41"/>
      <c r="E41"/>
      <c r="F41"/>
      <c r="G41"/>
      <c r="H41"/>
      <c r="I41"/>
      <c r="J41"/>
      <c r="K41" s="22">
        <v>8.3000001907348633</v>
      </c>
      <c r="L41" s="22">
        <v>11</v>
      </c>
      <c r="M41" s="22">
        <v>1</v>
      </c>
      <c r="N41" s="22">
        <v>13</v>
      </c>
      <c r="O41" s="22">
        <v>13</v>
      </c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3">
      <c r="A42"/>
      <c r="B42"/>
      <c r="C42"/>
      <c r="D42"/>
      <c r="E42"/>
      <c r="F42"/>
      <c r="G42"/>
      <c r="H42"/>
      <c r="I42"/>
      <c r="J42"/>
      <c r="K42" s="22">
        <v>9.3000001907348633</v>
      </c>
      <c r="L42" s="22">
        <v>15</v>
      </c>
      <c r="M42" s="22">
        <v>1</v>
      </c>
      <c r="N42" s="22">
        <v>15.5</v>
      </c>
      <c r="O42" s="22">
        <v>15.5</v>
      </c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3">
      <c r="A43"/>
      <c r="B43" t="s">
        <v>95</v>
      </c>
      <c r="C43"/>
      <c r="D43"/>
      <c r="E43"/>
      <c r="F43"/>
      <c r="G43"/>
      <c r="H43"/>
      <c r="I43"/>
      <c r="J43"/>
      <c r="K43" s="22">
        <v>10.300000190734863</v>
      </c>
      <c r="L43" s="22">
        <v>16</v>
      </c>
      <c r="M43" s="22">
        <v>1</v>
      </c>
      <c r="N43" s="22">
        <v>14.5</v>
      </c>
      <c r="O43" s="22">
        <v>14.5</v>
      </c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3">
      <c r="A44"/>
      <c r="B44"/>
      <c r="C44" t="s">
        <v>100</v>
      </c>
      <c r="D44"/>
      <c r="E44"/>
      <c r="F44"/>
      <c r="G44"/>
      <c r="H44"/>
      <c r="I44"/>
      <c r="J44"/>
      <c r="K44" s="22">
        <v>11.300000190734863</v>
      </c>
      <c r="L44" s="22">
        <v>13</v>
      </c>
      <c r="M44" s="22">
        <v>1</v>
      </c>
      <c r="N44" s="22">
        <v>12.5</v>
      </c>
      <c r="O44" s="22">
        <v>12.5</v>
      </c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3">
      <c r="A45"/>
      <c r="B45"/>
      <c r="C45"/>
      <c r="D45"/>
      <c r="E45"/>
      <c r="F45"/>
      <c r="G45"/>
      <c r="H45"/>
      <c r="I45"/>
      <c r="J45"/>
      <c r="K45" s="22">
        <v>12.300000190734863</v>
      </c>
      <c r="L45" s="22">
        <v>12</v>
      </c>
      <c r="M45" s="22">
        <v>0.19999980926513672</v>
      </c>
      <c r="N45" s="22">
        <v>10.142856597900391</v>
      </c>
      <c r="O45" s="22">
        <v>2.0285694599151611</v>
      </c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3">
      <c r="A46"/>
      <c r="B46"/>
      <c r="C46"/>
      <c r="D46"/>
      <c r="E46"/>
      <c r="F46"/>
      <c r="G46"/>
      <c r="H46"/>
      <c r="I46"/>
      <c r="J46"/>
      <c r="K46" s="22">
        <v>12.5</v>
      </c>
      <c r="L46" s="22">
        <v>8.2857141494750977</v>
      </c>
      <c r="M46" s="22">
        <v>0</v>
      </c>
      <c r="N46" s="22">
        <v>0</v>
      </c>
      <c r="O46" s="22">
        <v>0</v>
      </c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3">
      <c r="A47"/>
      <c r="B47" t="s">
        <v>111</v>
      </c>
      <c r="C47"/>
      <c r="D47"/>
      <c r="E47"/>
      <c r="F47"/>
      <c r="G47"/>
      <c r="H47"/>
      <c r="I47"/>
      <c r="J47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3">
      <c r="A48"/>
      <c r="B48"/>
      <c r="C48"/>
      <c r="D48"/>
      <c r="E48"/>
      <c r="F48"/>
      <c r="G48"/>
      <c r="H48"/>
      <c r="I48"/>
      <c r="J48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3">
      <c r="A49"/>
      <c r="B49"/>
      <c r="C49"/>
      <c r="D49"/>
      <c r="E49"/>
      <c r="F49"/>
      <c r="G49"/>
      <c r="H49"/>
      <c r="I49"/>
      <c r="J49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3">
      <c r="A50"/>
      <c r="B50" t="s">
        <v>110</v>
      </c>
      <c r="C50"/>
      <c r="D50"/>
      <c r="E50"/>
      <c r="F50"/>
      <c r="G50"/>
      <c r="H50"/>
      <c r="I50"/>
      <c r="J50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3">
      <c r="A51"/>
      <c r="B51"/>
      <c r="C51"/>
      <c r="D51"/>
      <c r="E51"/>
      <c r="F51"/>
      <c r="G51"/>
      <c r="H51"/>
      <c r="I51"/>
      <c r="J51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3">
      <c r="A52"/>
      <c r="B52"/>
      <c r="C52"/>
      <c r="D52"/>
      <c r="E52"/>
      <c r="F52"/>
      <c r="G52"/>
      <c r="H52"/>
      <c r="I52"/>
      <c r="J5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3">
      <c r="A53"/>
      <c r="B53"/>
      <c r="C53"/>
      <c r="D53"/>
      <c r="E53"/>
      <c r="F53"/>
      <c r="G53"/>
      <c r="H53"/>
      <c r="I53"/>
      <c r="J53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3">
      <c r="A54"/>
      <c r="B54"/>
      <c r="C54"/>
      <c r="D54"/>
      <c r="E54"/>
      <c r="F54"/>
      <c r="G54"/>
      <c r="H54"/>
      <c r="I54"/>
      <c r="J54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3">
      <c r="A55"/>
      <c r="B55"/>
      <c r="C55"/>
      <c r="D55"/>
      <c r="E55"/>
      <c r="F55"/>
      <c r="G55"/>
      <c r="H55"/>
      <c r="I55"/>
      <c r="J55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3">
      <c r="A56"/>
      <c r="B56"/>
      <c r="C56"/>
      <c r="D56"/>
      <c r="E56"/>
      <c r="F56"/>
      <c r="G56"/>
      <c r="H56"/>
      <c r="I56"/>
      <c r="J56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3">
      <c r="A57"/>
      <c r="B57"/>
      <c r="C57"/>
      <c r="D57"/>
      <c r="E57"/>
      <c r="F57"/>
      <c r="G57"/>
      <c r="H57"/>
      <c r="I57"/>
      <c r="J57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3">
      <c r="A58"/>
      <c r="B58"/>
      <c r="C58"/>
      <c r="D58"/>
      <c r="E58"/>
      <c r="F58"/>
      <c r="G58"/>
      <c r="H58"/>
      <c r="I58"/>
      <c r="J58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3">
      <c r="A59"/>
      <c r="B59"/>
      <c r="C59"/>
      <c r="D59"/>
      <c r="E59"/>
      <c r="F59"/>
      <c r="G59"/>
      <c r="H59"/>
      <c r="I59"/>
      <c r="J59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3">
      <c r="A60"/>
      <c r="B60"/>
      <c r="C60"/>
      <c r="D60"/>
      <c r="E60"/>
      <c r="F60"/>
      <c r="G60"/>
      <c r="H60"/>
      <c r="I60"/>
      <c r="J60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3">
      <c r="A61"/>
      <c r="B61"/>
      <c r="C61"/>
      <c r="D61"/>
      <c r="E61"/>
      <c r="F61"/>
      <c r="G61"/>
      <c r="H61"/>
      <c r="I61"/>
      <c r="J61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3">
      <c r="A62"/>
      <c r="B62"/>
      <c r="C62"/>
      <c r="D62"/>
      <c r="E62"/>
      <c r="F62"/>
      <c r="G62"/>
      <c r="H62"/>
      <c r="I62"/>
      <c r="J6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3">
      <c r="A63"/>
      <c r="B63"/>
      <c r="C63"/>
      <c r="D63"/>
      <c r="E63"/>
      <c r="F63"/>
      <c r="G63"/>
      <c r="H63"/>
      <c r="I63"/>
      <c r="J63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3">
      <c r="A64"/>
      <c r="B64"/>
      <c r="C64"/>
      <c r="D64"/>
      <c r="E64"/>
      <c r="F64"/>
      <c r="G64"/>
      <c r="H64"/>
      <c r="I64"/>
      <c r="J64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3">
      <c r="A65"/>
      <c r="B65"/>
      <c r="C65"/>
      <c r="D65"/>
      <c r="E65"/>
      <c r="F65"/>
      <c r="G65"/>
      <c r="H65"/>
      <c r="I65"/>
      <c r="J65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3">
      <c r="A66"/>
      <c r="B66"/>
      <c r="C66"/>
      <c r="D66"/>
      <c r="E66"/>
      <c r="F66"/>
      <c r="G66"/>
      <c r="H66"/>
      <c r="I66"/>
      <c r="J66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3">
      <c r="A67"/>
      <c r="B67"/>
      <c r="C67"/>
      <c r="D67"/>
      <c r="E67"/>
      <c r="F67"/>
      <c r="G67"/>
      <c r="H67"/>
      <c r="I67"/>
      <c r="J67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3">
      <c r="A68"/>
      <c r="B68"/>
      <c r="C68"/>
      <c r="D68"/>
      <c r="E68"/>
      <c r="F68"/>
      <c r="G68"/>
      <c r="H68"/>
      <c r="I68"/>
      <c r="J68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3">
      <c r="A69"/>
      <c r="B69"/>
      <c r="C69"/>
      <c r="D69"/>
      <c r="E69"/>
      <c r="F69"/>
      <c r="G69"/>
      <c r="H69"/>
      <c r="I69"/>
      <c r="J69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3">
      <c r="A70"/>
      <c r="B70"/>
      <c r="C70"/>
      <c r="D70"/>
      <c r="E70"/>
      <c r="F70"/>
      <c r="G70"/>
      <c r="H70"/>
      <c r="I70"/>
      <c r="J70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3">
      <c r="A71"/>
      <c r="B71"/>
      <c r="C71"/>
      <c r="D71"/>
      <c r="E71"/>
      <c r="F71"/>
      <c r="G71"/>
      <c r="H71"/>
      <c r="I71"/>
      <c r="J71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3">
      <c r="A72"/>
      <c r="B72"/>
      <c r="C72"/>
      <c r="D72"/>
      <c r="E72"/>
      <c r="F72"/>
      <c r="G72"/>
      <c r="H72"/>
      <c r="I72"/>
      <c r="J7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3">
      <c r="A73"/>
      <c r="B73"/>
      <c r="C73"/>
      <c r="D73"/>
      <c r="E73"/>
      <c r="F73"/>
      <c r="G73"/>
      <c r="H73"/>
      <c r="I73"/>
      <c r="J73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ujozu_fric">
                <anchor moveWithCells="1" sizeWithCells="1">
                  <from>
                    <xdr:col>5</xdr:col>
                    <xdr:colOff>30480</xdr:colOff>
                    <xdr:row>2</xdr:row>
                    <xdr:rowOff>144780</xdr:rowOff>
                  </from>
                  <to>
                    <xdr:col>6</xdr:col>
                    <xdr:colOff>15240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VE_N_Fric">
                <anchor moveWithCells="1" sizeWithCells="1">
                  <from>
                    <xdr:col>8</xdr:col>
                    <xdr:colOff>114300</xdr:colOff>
                    <xdr:row>1</xdr:row>
                    <xdr:rowOff>129540</xdr:rowOff>
                  </from>
                  <to>
                    <xdr:col>8</xdr:col>
                    <xdr:colOff>556260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F37" sqref="F37"/>
    </sheetView>
  </sheetViews>
  <sheetFormatPr defaultColWidth="9" defaultRowHeight="12.9" x14ac:dyDescent="0.3"/>
  <cols>
    <col min="1" max="1" width="22.1015625" style="1" customWidth="1"/>
    <col min="2" max="3" width="6.68359375" style="1" customWidth="1"/>
    <col min="4" max="4" width="15.20703125" style="1" customWidth="1"/>
    <col min="5" max="10" width="6.68359375" style="1" customWidth="1"/>
    <col min="11" max="11" width="8.68359375" style="1" customWidth="1"/>
    <col min="12" max="12" width="7.20703125" style="1" customWidth="1"/>
    <col min="13" max="13" width="10" style="1" bestFit="1" customWidth="1"/>
    <col min="14" max="14" width="15.3125" style="1" customWidth="1"/>
    <col min="15" max="15" width="9" style="1"/>
    <col min="16" max="16" width="7.20703125" style="1" customWidth="1"/>
    <col min="17" max="17" width="12.3125" style="1" customWidth="1"/>
    <col min="18" max="18" width="9.89453125" style="1" customWidth="1"/>
    <col min="19" max="16384" width="9" style="1"/>
  </cols>
  <sheetData>
    <row r="1" spans="1:25" x14ac:dyDescent="0.3">
      <c r="G1" s="1">
        <v>21</v>
      </c>
      <c r="P1" s="1">
        <v>26</v>
      </c>
    </row>
    <row r="2" spans="1:25" x14ac:dyDescent="0.3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3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3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3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3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3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3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3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3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3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3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3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3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3">
      <c r="A15" s="2" t="s">
        <v>69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3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3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3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3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3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3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3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3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3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3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3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3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3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3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3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ColWidth="8.89453125" defaultRowHeight="15" x14ac:dyDescent="0.55000000000000004"/>
  <cols>
    <col min="1" max="16384" width="8.89453125" style="9"/>
  </cols>
  <sheetData>
    <row r="3" spans="3:4" x14ac:dyDescent="0.55000000000000004">
      <c r="C3" s="11" t="s">
        <v>65</v>
      </c>
      <c r="D3" s="12">
        <v>0</v>
      </c>
    </row>
    <row r="4" spans="3:4" x14ac:dyDescent="0.55000000000000004">
      <c r="C4" s="11" t="s">
        <v>67</v>
      </c>
    </row>
    <row r="5" spans="3:4" x14ac:dyDescent="0.55000000000000004">
      <c r="C5" s="11" t="s">
        <v>66</v>
      </c>
    </row>
    <row r="6" spans="3:4" x14ac:dyDescent="0.55000000000000004">
      <c r="C6" s="11" t="s">
        <v>68</v>
      </c>
    </row>
    <row r="8" spans="3:4" x14ac:dyDescent="0.55000000000000004">
      <c r="C8" s="11" t="s">
        <v>76</v>
      </c>
      <c r="D8" s="9">
        <v>1000</v>
      </c>
    </row>
    <row r="9" spans="3:4" x14ac:dyDescent="0.55000000000000004">
      <c r="C9" s="13" t="s">
        <v>73</v>
      </c>
      <c r="D9" s="14">
        <v>75</v>
      </c>
    </row>
    <row r="10" spans="3:4" x14ac:dyDescent="0.55000000000000004">
      <c r="C10" s="15" t="s">
        <v>74</v>
      </c>
      <c r="D10" s="14">
        <v>12</v>
      </c>
    </row>
    <row r="11" spans="3:4" x14ac:dyDescent="0.55000000000000004">
      <c r="C11" s="13" t="s">
        <v>75</v>
      </c>
      <c r="D11" s="14">
        <f>(D8/1000)^2*PI()/4</f>
        <v>0.78539816339744828</v>
      </c>
    </row>
    <row r="12" spans="3:4" x14ac:dyDescent="0.55000000000000004">
      <c r="C12" s="13" t="s">
        <v>69</v>
      </c>
      <c r="D12" s="14">
        <f>D9*D10*D11</f>
        <v>706.85834705770344</v>
      </c>
    </row>
    <row r="13" spans="3:4" x14ac:dyDescent="0.55000000000000004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D24" sqref="D24"/>
    </sheetView>
  </sheetViews>
  <sheetFormatPr defaultColWidth="9" defaultRowHeight="15" x14ac:dyDescent="0.55000000000000004"/>
  <cols>
    <col min="1" max="1" width="4.68359375" style="9" customWidth="1"/>
    <col min="2" max="2" width="6.89453125" style="9" customWidth="1"/>
    <col min="3" max="4" width="5.68359375" style="9" customWidth="1"/>
    <col min="5" max="16384" width="9" style="9"/>
  </cols>
  <sheetData>
    <row r="1" spans="1:20" x14ac:dyDescent="0.55000000000000004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55000000000000004">
      <c r="B2" s="9" t="s">
        <v>2</v>
      </c>
      <c r="C2" s="9" t="s">
        <v>3</v>
      </c>
      <c r="E2" s="12" t="s">
        <v>56</v>
      </c>
      <c r="J2" s="11" t="s">
        <v>65</v>
      </c>
      <c r="K2" s="12">
        <v>0</v>
      </c>
    </row>
    <row r="3" spans="1:20" s="10" customFormat="1" ht="15.75" customHeight="1" x14ac:dyDescent="0.55000000000000004">
      <c r="F3" s="12" t="s">
        <v>0</v>
      </c>
      <c r="G3" s="10">
        <v>1000</v>
      </c>
      <c r="J3" s="11" t="s">
        <v>67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55000000000000004">
      <c r="B4" s="9">
        <v>1.3</v>
      </c>
      <c r="C4" s="9">
        <v>4</v>
      </c>
      <c r="F4" s="9" t="s">
        <v>7</v>
      </c>
      <c r="G4" s="9">
        <v>1.3</v>
      </c>
      <c r="J4" s="11" t="s">
        <v>66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55000000000000004">
      <c r="B5" s="9">
        <v>2.2999999999999998</v>
      </c>
      <c r="C5" s="9">
        <v>4</v>
      </c>
      <c r="F5" s="9" t="s">
        <v>1</v>
      </c>
      <c r="G5" s="9">
        <v>11</v>
      </c>
      <c r="J5" s="11" t="s">
        <v>68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55000000000000004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70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55000000000000004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71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55000000000000004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72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55000000000000004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55000000000000004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55000000000000004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55000000000000004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55000000000000004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55000000000000004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55000000000000004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55000000000000004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55000000000000004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55000000000000004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55000000000000004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55000000000000004">
      <c r="K20"/>
      <c r="L20"/>
      <c r="M20"/>
      <c r="N20"/>
      <c r="O20"/>
      <c r="P20"/>
      <c r="Q20"/>
      <c r="R20"/>
      <c r="S20"/>
      <c r="T20"/>
    </row>
    <row r="21" spans="2:20" x14ac:dyDescent="0.55000000000000004">
      <c r="K21"/>
      <c r="L21"/>
      <c r="M21"/>
      <c r="N21"/>
      <c r="O21"/>
      <c r="P21"/>
      <c r="Q21"/>
      <c r="R21"/>
      <c r="S21"/>
      <c r="T21"/>
    </row>
    <row r="22" spans="2:20" x14ac:dyDescent="0.55000000000000004">
      <c r="K22"/>
      <c r="L22"/>
      <c r="M22"/>
      <c r="N22"/>
      <c r="O22"/>
      <c r="P22"/>
      <c r="Q22"/>
      <c r="R22"/>
      <c r="S22"/>
      <c r="T22"/>
    </row>
    <row r="23" spans="2:20" x14ac:dyDescent="0.55000000000000004">
      <c r="E23" s="11"/>
      <c r="K23"/>
      <c r="L23"/>
      <c r="M23"/>
      <c r="N23"/>
      <c r="O23"/>
      <c r="P23"/>
      <c r="Q23"/>
      <c r="R23"/>
      <c r="S23"/>
      <c r="T23"/>
    </row>
    <row r="24" spans="2:20" x14ac:dyDescent="0.55000000000000004">
      <c r="K24"/>
      <c r="L24"/>
      <c r="M24"/>
      <c r="N24"/>
      <c r="O24"/>
      <c r="P24"/>
      <c r="Q24"/>
      <c r="R24"/>
      <c r="S24"/>
      <c r="T24"/>
    </row>
    <row r="25" spans="2:20" x14ac:dyDescent="0.55000000000000004">
      <c r="K25"/>
      <c r="L25"/>
      <c r="M25"/>
      <c r="N25"/>
      <c r="O25"/>
      <c r="P25"/>
      <c r="Q25"/>
      <c r="R25"/>
      <c r="S25"/>
      <c r="T25"/>
    </row>
    <row r="26" spans="2:20" x14ac:dyDescent="0.55000000000000004">
      <c r="K26"/>
      <c r="L26"/>
      <c r="M26"/>
      <c r="N26"/>
      <c r="O26"/>
      <c r="P26"/>
      <c r="Q26"/>
      <c r="R26"/>
      <c r="S26"/>
      <c r="T26"/>
    </row>
    <row r="27" spans="2:20" x14ac:dyDescent="0.55000000000000004">
      <c r="K27"/>
      <c r="L27"/>
      <c r="M27"/>
      <c r="N27"/>
      <c r="O27"/>
      <c r="P27"/>
      <c r="Q27"/>
      <c r="R27"/>
      <c r="S27"/>
      <c r="T27"/>
    </row>
    <row r="28" spans="2:20" x14ac:dyDescent="0.55000000000000004">
      <c r="K28"/>
      <c r="L28"/>
      <c r="M28"/>
      <c r="N28"/>
      <c r="O28"/>
      <c r="P28"/>
      <c r="Q28"/>
      <c r="R28"/>
      <c r="S28"/>
      <c r="T28"/>
    </row>
    <row r="29" spans="2:20" x14ac:dyDescent="0.55000000000000004">
      <c r="K29"/>
      <c r="L29"/>
      <c r="M29"/>
      <c r="N29"/>
      <c r="O29"/>
      <c r="P29"/>
      <c r="Q29"/>
      <c r="R29"/>
      <c r="S29"/>
      <c r="T29"/>
    </row>
    <row r="30" spans="2:20" x14ac:dyDescent="0.55000000000000004">
      <c r="K30"/>
      <c r="L30"/>
      <c r="M30"/>
      <c r="N30"/>
      <c r="O30"/>
      <c r="P30"/>
      <c r="Q30"/>
      <c r="R30"/>
      <c r="S30"/>
      <c r="T30"/>
    </row>
    <row r="31" spans="2:20" x14ac:dyDescent="0.55000000000000004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55000000000000004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55000000000000004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55000000000000004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55000000000000004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55000000000000004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55000000000000004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55000000000000004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55000000000000004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55000000000000004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55000000000000004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55000000000000004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55000000000000004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55000000000000004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55000000000000004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55000000000000004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55000000000000004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55000000000000004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55000000000000004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55000000000000004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55000000000000004">
      <c r="K51"/>
      <c r="L51"/>
      <c r="M51"/>
      <c r="N51"/>
      <c r="O51"/>
      <c r="P51"/>
      <c r="Q51"/>
      <c r="R51"/>
      <c r="S51"/>
      <c r="T51"/>
    </row>
    <row r="52" spans="6:20" x14ac:dyDescent="0.55000000000000004">
      <c r="K52"/>
      <c r="L52"/>
      <c r="M52"/>
      <c r="N52"/>
      <c r="O52"/>
      <c r="P52"/>
      <c r="Q52"/>
      <c r="R52"/>
      <c r="S52"/>
      <c r="T52"/>
    </row>
    <row r="53" spans="6:20" x14ac:dyDescent="0.55000000000000004">
      <c r="K53"/>
      <c r="L53"/>
      <c r="M53"/>
      <c r="N53"/>
      <c r="O53"/>
      <c r="P53"/>
      <c r="Q53"/>
      <c r="R53"/>
      <c r="S53"/>
      <c r="T53"/>
    </row>
    <row r="54" spans="6:20" x14ac:dyDescent="0.55000000000000004">
      <c r="K54"/>
      <c r="L54"/>
      <c r="M54"/>
      <c r="N54"/>
      <c r="O54"/>
      <c r="P54"/>
      <c r="Q54"/>
      <c r="R54"/>
      <c r="S54"/>
      <c r="T54"/>
    </row>
    <row r="55" spans="6:20" x14ac:dyDescent="0.55000000000000004">
      <c r="K55"/>
      <c r="L55"/>
      <c r="M55"/>
      <c r="N55"/>
      <c r="O55"/>
      <c r="P55"/>
      <c r="Q55"/>
      <c r="R55"/>
      <c r="S55"/>
      <c r="T55"/>
    </row>
    <row r="56" spans="6:20" x14ac:dyDescent="0.55000000000000004">
      <c r="K56"/>
      <c r="L56"/>
      <c r="M56"/>
      <c r="N56"/>
      <c r="O56"/>
      <c r="P56"/>
      <c r="Q56"/>
      <c r="R56"/>
      <c r="S56"/>
      <c r="T56"/>
    </row>
    <row r="57" spans="6:20" x14ac:dyDescent="0.55000000000000004">
      <c r="K57"/>
      <c r="L57"/>
      <c r="M57"/>
      <c r="N57"/>
      <c r="O57"/>
      <c r="P57"/>
      <c r="Q57"/>
      <c r="R57"/>
      <c r="S57"/>
      <c r="T57"/>
    </row>
    <row r="58" spans="6:20" x14ac:dyDescent="0.55000000000000004">
      <c r="K58"/>
      <c r="L58"/>
      <c r="M58"/>
      <c r="N58"/>
      <c r="O58"/>
      <c r="P58"/>
      <c r="Q58"/>
      <c r="R58"/>
      <c r="S58"/>
      <c r="T58"/>
    </row>
    <row r="59" spans="6:20" x14ac:dyDescent="0.55000000000000004">
      <c r="K59"/>
      <c r="L59"/>
      <c r="M59"/>
      <c r="N59"/>
      <c r="O59"/>
      <c r="P59"/>
      <c r="Q59"/>
      <c r="R59"/>
      <c r="S59"/>
      <c r="T59"/>
    </row>
    <row r="60" spans="6:20" x14ac:dyDescent="0.55000000000000004">
      <c r="K60"/>
      <c r="L60"/>
      <c r="M60"/>
      <c r="N60"/>
      <c r="O60"/>
      <c r="P60"/>
      <c r="Q60"/>
      <c r="R60"/>
      <c r="S60"/>
      <c r="T60"/>
    </row>
    <row r="61" spans="6:20" x14ac:dyDescent="0.55000000000000004">
      <c r="K61"/>
      <c r="L61"/>
      <c r="M61"/>
      <c r="N61"/>
      <c r="O61"/>
      <c r="P61"/>
      <c r="Q61"/>
      <c r="R61"/>
      <c r="S61"/>
      <c r="T61"/>
    </row>
    <row r="62" spans="6:20" x14ac:dyDescent="0.55000000000000004">
      <c r="K62"/>
      <c r="L62"/>
      <c r="M62"/>
      <c r="N62"/>
      <c r="O62"/>
      <c r="P62"/>
      <c r="Q62"/>
      <c r="R62"/>
      <c r="S62"/>
      <c r="T62"/>
    </row>
    <row r="63" spans="6:20" x14ac:dyDescent="0.55000000000000004">
      <c r="K63"/>
      <c r="L63"/>
      <c r="M63"/>
      <c r="N63"/>
      <c r="O63"/>
      <c r="P63"/>
      <c r="Q63"/>
      <c r="R63"/>
      <c r="S63"/>
      <c r="T63"/>
    </row>
    <row r="64" spans="6:20" x14ac:dyDescent="0.55000000000000004">
      <c r="K64"/>
      <c r="L64"/>
      <c r="M64"/>
      <c r="N64"/>
      <c r="O64"/>
      <c r="P64"/>
      <c r="Q64"/>
      <c r="R64"/>
      <c r="S64"/>
      <c r="T64"/>
    </row>
    <row r="65" spans="11:20" x14ac:dyDescent="0.55000000000000004">
      <c r="K65"/>
      <c r="L65"/>
      <c r="M65"/>
      <c r="N65"/>
      <c r="O65"/>
      <c r="P65"/>
      <c r="Q65"/>
      <c r="R65"/>
      <c r="S65"/>
      <c r="T65"/>
    </row>
    <row r="66" spans="11:20" x14ac:dyDescent="0.55000000000000004">
      <c r="K66"/>
      <c r="L66"/>
      <c r="M66"/>
      <c r="N66"/>
      <c r="O66"/>
      <c r="P66"/>
      <c r="Q66"/>
      <c r="R66"/>
      <c r="S66"/>
      <c r="T66"/>
    </row>
    <row r="67" spans="11:20" x14ac:dyDescent="0.55000000000000004">
      <c r="K67"/>
      <c r="L67"/>
      <c r="M67"/>
      <c r="N67"/>
      <c r="O67"/>
      <c r="P67"/>
      <c r="Q67"/>
      <c r="R67"/>
      <c r="S67"/>
      <c r="T67"/>
    </row>
    <row r="68" spans="11:20" x14ac:dyDescent="0.55000000000000004">
      <c r="K68"/>
      <c r="L68"/>
      <c r="M68"/>
      <c r="N68"/>
      <c r="O68"/>
      <c r="P68"/>
      <c r="Q68"/>
      <c r="R68"/>
      <c r="S68"/>
      <c r="T68"/>
    </row>
    <row r="69" spans="11:20" x14ac:dyDescent="0.55000000000000004">
      <c r="K69"/>
      <c r="L69"/>
      <c r="M69"/>
      <c r="N69"/>
      <c r="O69"/>
      <c r="P69"/>
      <c r="Q69"/>
      <c r="R69"/>
      <c r="S69"/>
      <c r="T69"/>
    </row>
    <row r="70" spans="11:20" x14ac:dyDescent="0.55000000000000004">
      <c r="K70"/>
      <c r="L70"/>
      <c r="M70"/>
      <c r="N70"/>
      <c r="O70"/>
      <c r="P70"/>
      <c r="Q70"/>
      <c r="R70"/>
      <c r="S70"/>
      <c r="T70"/>
    </row>
    <row r="71" spans="11:20" x14ac:dyDescent="0.55000000000000004">
      <c r="K71"/>
      <c r="L71"/>
      <c r="M71"/>
      <c r="N71"/>
      <c r="O71"/>
      <c r="P71"/>
      <c r="Q71"/>
      <c r="R71"/>
      <c r="S71"/>
      <c r="T71"/>
    </row>
    <row r="72" spans="11:20" x14ac:dyDescent="0.55000000000000004">
      <c r="K72"/>
      <c r="L72"/>
      <c r="M72"/>
      <c r="N72"/>
      <c r="O72"/>
      <c r="P72"/>
      <c r="Q72"/>
      <c r="R72"/>
      <c r="S72"/>
      <c r="T72"/>
    </row>
    <row r="73" spans="11:20" x14ac:dyDescent="0.55000000000000004">
      <c r="K73"/>
      <c r="L73"/>
      <c r="M73"/>
      <c r="N73"/>
      <c r="O73"/>
      <c r="P73"/>
      <c r="Q73"/>
      <c r="R73"/>
      <c r="S73"/>
      <c r="T73"/>
    </row>
    <row r="74" spans="11:20" x14ac:dyDescent="0.55000000000000004">
      <c r="K74"/>
      <c r="L74"/>
      <c r="M74"/>
      <c r="N74"/>
      <c r="O74"/>
      <c r="P74"/>
      <c r="Q74"/>
      <c r="R74"/>
      <c r="S74"/>
      <c r="T74"/>
    </row>
    <row r="75" spans="11:20" x14ac:dyDescent="0.55000000000000004">
      <c r="K75"/>
      <c r="L75"/>
      <c r="M75"/>
      <c r="N75"/>
      <c r="O75"/>
      <c r="P75"/>
      <c r="Q75"/>
      <c r="R75"/>
      <c r="S75"/>
      <c r="T75"/>
    </row>
    <row r="76" spans="11:20" x14ac:dyDescent="0.55000000000000004">
      <c r="K76"/>
      <c r="L76"/>
      <c r="M76"/>
      <c r="N76"/>
      <c r="O76"/>
      <c r="P76"/>
      <c r="Q76"/>
      <c r="R76"/>
      <c r="S76"/>
      <c r="T76"/>
    </row>
    <row r="77" spans="11:20" x14ac:dyDescent="0.55000000000000004">
      <c r="K77"/>
      <c r="L77"/>
      <c r="M77"/>
      <c r="N77"/>
      <c r="O77"/>
      <c r="P77"/>
      <c r="Q77"/>
      <c r="R77"/>
      <c r="S77"/>
      <c r="T77"/>
    </row>
    <row r="78" spans="11:20" x14ac:dyDescent="0.55000000000000004">
      <c r="K78"/>
      <c r="L78"/>
      <c r="M78"/>
      <c r="N78"/>
      <c r="O78"/>
      <c r="P78"/>
      <c r="Q78"/>
      <c r="R78"/>
      <c r="S78"/>
      <c r="T78"/>
    </row>
    <row r="79" spans="11:20" x14ac:dyDescent="0.55000000000000004">
      <c r="K79"/>
      <c r="L79"/>
      <c r="M79"/>
      <c r="N79"/>
      <c r="O79"/>
      <c r="P79"/>
      <c r="Q79"/>
      <c r="R79"/>
      <c r="S79"/>
      <c r="T79"/>
    </row>
    <row r="80" spans="11:20" x14ac:dyDescent="0.55000000000000004">
      <c r="K80"/>
      <c r="L80"/>
      <c r="M80"/>
      <c r="N80"/>
      <c r="O80"/>
      <c r="P80"/>
      <c r="Q80"/>
      <c r="R80"/>
      <c r="S80"/>
      <c r="T80"/>
    </row>
    <row r="81" spans="11:20" x14ac:dyDescent="0.55000000000000004">
      <c r="K81"/>
      <c r="L81"/>
      <c r="M81"/>
      <c r="N81"/>
      <c r="O81"/>
      <c r="P81"/>
      <c r="Q81"/>
      <c r="R81"/>
      <c r="S81"/>
      <c r="T81"/>
    </row>
    <row r="82" spans="11:20" x14ac:dyDescent="0.55000000000000004">
      <c r="K82"/>
      <c r="L82"/>
      <c r="M82"/>
      <c r="N82"/>
      <c r="O82"/>
      <c r="P82"/>
      <c r="Q82"/>
      <c r="R82"/>
      <c r="S82"/>
      <c r="T82"/>
    </row>
    <row r="83" spans="11:20" x14ac:dyDescent="0.55000000000000004">
      <c r="K83"/>
      <c r="L83"/>
      <c r="M83"/>
      <c r="N83"/>
      <c r="O83"/>
      <c r="P83"/>
      <c r="Q83"/>
      <c r="R83"/>
      <c r="S83"/>
      <c r="T83"/>
    </row>
    <row r="84" spans="11:20" x14ac:dyDescent="0.55000000000000004">
      <c r="K84"/>
      <c r="L84"/>
      <c r="M84"/>
      <c r="N84"/>
      <c r="O84"/>
      <c r="P84"/>
      <c r="Q84"/>
      <c r="R84"/>
      <c r="S84"/>
      <c r="T84"/>
    </row>
    <row r="85" spans="11:20" x14ac:dyDescent="0.55000000000000004">
      <c r="K85"/>
      <c r="L85"/>
      <c r="M85"/>
      <c r="N85"/>
      <c r="O85"/>
      <c r="P85"/>
      <c r="Q85"/>
      <c r="R85"/>
      <c r="S85"/>
      <c r="T85"/>
    </row>
    <row r="86" spans="11:20" x14ac:dyDescent="0.55000000000000004">
      <c r="K86"/>
      <c r="L86"/>
      <c r="M86"/>
      <c r="N86"/>
      <c r="O86"/>
      <c r="P86"/>
      <c r="Q86"/>
      <c r="R86"/>
      <c r="S86"/>
      <c r="T86"/>
    </row>
    <row r="87" spans="11:20" x14ac:dyDescent="0.55000000000000004">
      <c r="K87"/>
      <c r="L87"/>
      <c r="M87"/>
      <c r="N87"/>
      <c r="O87"/>
      <c r="P87"/>
      <c r="Q87"/>
      <c r="R87"/>
      <c r="S87"/>
      <c r="T87"/>
    </row>
    <row r="88" spans="11:20" x14ac:dyDescent="0.55000000000000004">
      <c r="K88"/>
      <c r="L88"/>
      <c r="M88"/>
      <c r="N88"/>
      <c r="O88"/>
      <c r="P88"/>
      <c r="Q88"/>
      <c r="R88"/>
      <c r="S88"/>
      <c r="T88"/>
    </row>
    <row r="89" spans="11:20" x14ac:dyDescent="0.55000000000000004">
      <c r="K89"/>
      <c r="L89"/>
      <c r="M89"/>
      <c r="N89"/>
      <c r="O89"/>
      <c r="P89"/>
      <c r="Q89"/>
      <c r="R89"/>
      <c r="S89"/>
      <c r="T89"/>
    </row>
    <row r="90" spans="11:20" x14ac:dyDescent="0.55000000000000004">
      <c r="K90"/>
      <c r="L90"/>
      <c r="M90"/>
      <c r="N90"/>
      <c r="O90"/>
      <c r="P90"/>
      <c r="Q90"/>
      <c r="R90"/>
      <c r="S90"/>
      <c r="T90"/>
    </row>
    <row r="91" spans="11:20" x14ac:dyDescent="0.55000000000000004">
      <c r="K91"/>
      <c r="L91"/>
      <c r="M91"/>
      <c r="N91"/>
      <c r="O91"/>
      <c r="P91"/>
      <c r="Q91"/>
      <c r="R91"/>
      <c r="S91"/>
      <c r="T91"/>
    </row>
    <row r="92" spans="11:20" x14ac:dyDescent="0.55000000000000004">
      <c r="K92"/>
      <c r="L92"/>
      <c r="M92"/>
      <c r="N92"/>
      <c r="O92"/>
      <c r="P92"/>
      <c r="Q92"/>
      <c r="R92"/>
      <c r="S92"/>
      <c r="T92"/>
    </row>
    <row r="93" spans="11:20" x14ac:dyDescent="0.55000000000000004">
      <c r="K93"/>
      <c r="L93"/>
      <c r="M93"/>
      <c r="N93"/>
      <c r="O93"/>
      <c r="P93"/>
      <c r="Q93"/>
      <c r="R93"/>
      <c r="S93"/>
      <c r="T93"/>
    </row>
    <row r="94" spans="11:20" x14ac:dyDescent="0.55000000000000004">
      <c r="K94"/>
      <c r="L94"/>
      <c r="M94"/>
      <c r="N94"/>
      <c r="O94"/>
      <c r="P94"/>
      <c r="Q94"/>
      <c r="R94"/>
      <c r="S94"/>
      <c r="T94"/>
    </row>
    <row r="95" spans="11:20" x14ac:dyDescent="0.55000000000000004">
      <c r="K95"/>
      <c r="L95"/>
      <c r="M95"/>
      <c r="N95"/>
      <c r="O95"/>
      <c r="P95"/>
      <c r="Q95"/>
      <c r="R95"/>
      <c r="S95"/>
      <c r="T95"/>
    </row>
    <row r="96" spans="11:20" x14ac:dyDescent="0.55000000000000004">
      <c r="K96"/>
      <c r="L96"/>
      <c r="M96"/>
      <c r="N96"/>
      <c r="O96"/>
      <c r="P96"/>
      <c r="Q96"/>
      <c r="R96"/>
      <c r="S96"/>
      <c r="T96"/>
    </row>
    <row r="97" spans="11:20" x14ac:dyDescent="0.55000000000000004">
      <c r="K97"/>
      <c r="L97"/>
      <c r="M97"/>
      <c r="N97"/>
      <c r="O97"/>
      <c r="P97"/>
      <c r="Q97"/>
      <c r="R97"/>
      <c r="S97"/>
      <c r="T97"/>
    </row>
    <row r="98" spans="11:20" x14ac:dyDescent="0.55000000000000004">
      <c r="K98"/>
      <c r="L98"/>
      <c r="M98"/>
      <c r="N98"/>
      <c r="O98"/>
      <c r="P98"/>
      <c r="Q98"/>
      <c r="R98"/>
      <c r="S98"/>
      <c r="T98"/>
    </row>
    <row r="99" spans="11:20" x14ac:dyDescent="0.55000000000000004">
      <c r="K99"/>
      <c r="L99"/>
      <c r="M99"/>
      <c r="N99"/>
      <c r="O99"/>
      <c r="P99"/>
      <c r="Q99"/>
      <c r="R99"/>
      <c r="S99"/>
      <c r="T99"/>
    </row>
    <row r="100" spans="11:20" x14ac:dyDescent="0.55000000000000004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N_No.1</vt:lpstr>
      <vt:lpstr>N_No.2</vt:lpstr>
      <vt:lpstr>N (3)</vt:lpstr>
      <vt:lpstr>Friction</vt:lpstr>
      <vt:lpstr>input _pile</vt:lpstr>
      <vt:lpstr>Sheet1</vt:lpstr>
      <vt:lpstr>N (2)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2022-09-13T06:03:38Z</cp:lastPrinted>
  <dcterms:created xsi:type="dcterms:W3CDTF">1997-11-21T02:46:14Z</dcterms:created>
  <dcterms:modified xsi:type="dcterms:W3CDTF">2022-09-13T06:13:29Z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2022-09-13T06:13:28Z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0589b206-efce-4dba-ad3e-5a928f1d45f2</vt:lpwstr>
  </property>
  <property fmtid="{D5CDD505-2E9C-101B-9397-08002B2CF9AE}" pid="8" name="MSIP_Label_340bcb0f-5b51-4b6e-b1dd-058f2ad3bb86_ContentBits">
    <vt:lpwstr>2</vt:lpwstr>
  </property>
</Properties>
</file>