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ve_N_value\"/>
    </mc:Choice>
  </mc:AlternateContent>
  <xr:revisionPtr revIDLastSave="0" documentId="13_ncr:1_{1578FE62-5AAC-4B46-BAB8-DDAEB82092A5}" xr6:coauthVersionLast="36" xr6:coauthVersionMax="47" xr10:uidLastSave="{00000000-0000-0000-0000-000000000000}"/>
  <bookViews>
    <workbookView xWindow="-120" yWindow="-120" windowWidth="20736" windowHeight="9756" tabRatio="603" xr2:uid="{00000000-000D-0000-FFFF-FFFF00000000}"/>
  </bookViews>
  <sheets>
    <sheet name="input _pile (2)" sheetId="22" r:id="rId1"/>
    <sheet name="input _pile" sheetId="21" r:id="rId2"/>
    <sheet name="N (2)" sheetId="23" r:id="rId3"/>
    <sheet name="Sheet1" sheetId="24" r:id="rId4"/>
    <sheet name="N" sheetId="2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" i="22" l="1"/>
  <c r="I7" i="22" s="1"/>
  <c r="I9" i="22" l="1"/>
  <c r="D11" i="24"/>
  <c r="D12" i="24"/>
  <c r="D13" i="24" s="1"/>
  <c r="J9" i="23" l="1"/>
  <c r="J7" i="23"/>
  <c r="G7" i="23" l="1"/>
  <c r="G8" i="23" s="1"/>
  <c r="B15" i="21"/>
  <c r="G6" i="23" l="1"/>
  <c r="B16" i="21"/>
  <c r="B6" i="22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4" i="2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6" i="20" s="1"/>
  <c r="G8" i="20" l="1"/>
</calcChain>
</file>

<file path=xl/sharedStrings.xml><?xml version="1.0" encoding="utf-8"?>
<sst xmlns="http://schemas.openxmlformats.org/spreadsheetml/2006/main" count="231" uniqueCount="86">
  <si>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</si>
  <si>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</si>
  <si>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</si>
  <si>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</si>
  <si>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</si>
  <si>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</si>
  <si>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</si>
  <si>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</si>
  <si>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</si>
  <si>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</si>
  <si>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</si>
  <si>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</si>
  <si>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</si>
  <si>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</si>
  <si>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</si>
  <si>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</si>
  <si>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</si>
  <si>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</si>
  <si>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</si>
  <si>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</si>
  <si>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</si>
  <si>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</si>
  <si>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</si>
  <si>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</si>
  <si>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</si>
  <si>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</si>
  <si>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</si>
  <si>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</si>
  <si>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</si>
  <si>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</si>
  <si>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</si>
  <si>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</si>
  <si>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</si>
  <si>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</si>
  <si>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</si>
  <si>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</si>
  <si>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</si>
  <si>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</si>
  <si>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</si>
  <si>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</si>
  <si>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</si>
  <si>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</si>
  <si>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</si>
  <si>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</si>
  <si>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</si>
  <si>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</si>
  <si>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</si>
  <si>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</si>
  <si>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</si>
  <si>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</si>
  <si>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</si>
  <si>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</si>
  <si>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</si>
  <si>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</si>
  <si>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</si>
  <si>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</si>
  <si>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</si>
  <si>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</si>
  <si>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</si>
  <si>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</si>
  <si>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</si>
  <si>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</si>
  <si>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</si>
  <si>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</si>
  <si>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</si>
  <si>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盛土（粘土）</t>
  </si>
  <si>
    <t>砂質シルト</t>
  </si>
  <si>
    <t>シルト質粘土</t>
  </si>
  <si>
    <t>泥岩</t>
  </si>
  <si>
    <t>砂岩</t>
  </si>
  <si>
    <t>BM=</t>
    <phoneticPr fontId="1"/>
  </si>
  <si>
    <t>GL=BM+</t>
    <phoneticPr fontId="1"/>
  </si>
  <si>
    <t>BR_H=BM+</t>
    <phoneticPr fontId="1"/>
  </si>
  <si>
    <t>GL-BR_H=</t>
    <phoneticPr fontId="1"/>
  </si>
  <si>
    <t>α*qp*Ap</t>
    <phoneticPr fontId="4"/>
  </si>
  <si>
    <t>α</t>
    <phoneticPr fontId="1"/>
  </si>
  <si>
    <t>A</t>
    <phoneticPr fontId="1"/>
  </si>
  <si>
    <t>N</t>
    <phoneticPr fontId="1"/>
  </si>
  <si>
    <t>α=</t>
    <phoneticPr fontId="4"/>
  </si>
  <si>
    <t>N=</t>
    <phoneticPr fontId="4"/>
  </si>
  <si>
    <t>Ap=</t>
    <phoneticPr fontId="4"/>
  </si>
  <si>
    <t>φ=</t>
    <phoneticPr fontId="1"/>
  </si>
  <si>
    <t>-</t>
  </si>
  <si>
    <t>c</t>
  </si>
  <si>
    <t>s</t>
  </si>
  <si>
    <t>基礎下</t>
    <rPh sb="0" eb="2">
      <t>キソ</t>
    </rPh>
    <rPh sb="2" eb="3">
      <t>シタ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</si>
</sst>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19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76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" fontId="8" fillId="0" borderId="0" xfId="1" applyNumberFormat="1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6" name="line01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>
          <a:off x="1620520" y="579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50800</xdr:colOff>
      <xdr:row>5</xdr:row>
      <xdr:rowOff>0</xdr:rowOff>
    </xdr:to>
    <xdr:cxnSp macro="">
      <xdr:nvCxnSpPr>
        <xdr:cNvPr id="97" name="line01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/>
      </xdr:nvCxnSpPr>
      <xdr:spPr>
        <a:xfrm flipH="1">
          <a:off x="16078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165100</xdr:colOff>
      <xdr:row>6</xdr:row>
      <xdr:rowOff>0</xdr:rowOff>
    </xdr:to>
    <xdr:cxnSp macro="">
      <xdr:nvCxnSpPr>
        <xdr:cNvPr id="98" name="line01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/>
      </xdr:nvCxnSpPr>
      <xdr:spPr>
        <a:xfrm>
          <a:off x="1607820" y="960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6</xdr:row>
      <xdr:rowOff>0</xdr:rowOff>
    </xdr:from>
    <xdr:to>
      <xdr:col>4</xdr:col>
      <xdr:colOff>165100</xdr:colOff>
      <xdr:row>7</xdr:row>
      <xdr:rowOff>0</xdr:rowOff>
    </xdr:to>
    <xdr:cxnSp macro="">
      <xdr:nvCxnSpPr>
        <xdr:cNvPr id="99" name="line01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/>
      </xdr:nvCxnSpPr>
      <xdr:spPr>
        <a:xfrm flipH="1">
          <a:off x="1633220" y="11506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7</xdr:row>
      <xdr:rowOff>0</xdr:rowOff>
    </xdr:from>
    <xdr:to>
      <xdr:col>4</xdr:col>
      <xdr:colOff>76200</xdr:colOff>
      <xdr:row>8</xdr:row>
      <xdr:rowOff>0</xdr:rowOff>
    </xdr:to>
    <xdr:cxnSp macro="">
      <xdr:nvCxnSpPr>
        <xdr:cNvPr id="100" name="line01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>
          <a:off x="16332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101" name="line0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>
          <a:off x="16459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88900</xdr:colOff>
      <xdr:row>10</xdr:row>
      <xdr:rowOff>0</xdr:rowOff>
    </xdr:to>
    <xdr:cxnSp macro="">
      <xdr:nvCxnSpPr>
        <xdr:cNvPr id="102" name="line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CxnSpPr/>
      </xdr:nvCxnSpPr>
      <xdr:spPr>
        <a:xfrm>
          <a:off x="1658620" y="1722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10</xdr:row>
      <xdr:rowOff>0</xdr:rowOff>
    </xdr:from>
    <xdr:to>
      <xdr:col>4</xdr:col>
      <xdr:colOff>88900</xdr:colOff>
      <xdr:row>11</xdr:row>
      <xdr:rowOff>0</xdr:rowOff>
    </xdr:to>
    <xdr:cxnSp macro="">
      <xdr:nvCxnSpPr>
        <xdr:cNvPr id="103" name="line01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CxnSpPr/>
      </xdr:nvCxnSpPr>
      <xdr:spPr>
        <a:xfrm flipH="1">
          <a:off x="1633220" y="1912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104" name="line0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>
          <a:off x="16332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05" name="line01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/>
      </xdr:nvCxnSpPr>
      <xdr:spPr>
        <a:xfrm>
          <a:off x="1645920" y="2293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190500</xdr:colOff>
      <xdr:row>14</xdr:row>
      <xdr:rowOff>0</xdr:rowOff>
    </xdr:to>
    <xdr:cxnSp macro="">
      <xdr:nvCxnSpPr>
        <xdr:cNvPr id="106" name="line01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/>
      </xdr:nvCxnSpPr>
      <xdr:spPr>
        <a:xfrm>
          <a:off x="1671320" y="24841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14</xdr:row>
      <xdr:rowOff>0</xdr:rowOff>
    </xdr:from>
    <xdr:to>
      <xdr:col>4</xdr:col>
      <xdr:colOff>406400</xdr:colOff>
      <xdr:row>15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>
          <a:off x="1760220" y="2674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15</xdr:row>
      <xdr:rowOff>0</xdr:rowOff>
    </xdr:from>
    <xdr:to>
      <xdr:col>5</xdr:col>
      <xdr:colOff>5080</xdr:colOff>
      <xdr:row>16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/>
      </xdr:nvCxnSpPr>
      <xdr:spPr>
        <a:xfrm>
          <a:off x="19761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>
          <a:off x="2192020" y="30556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14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>
          <a:off x="18783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688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>
          <a:off x="1878330" y="2674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586740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76200</xdr:rowOff>
        </xdr:from>
        <xdr:to>
          <xdr:col>10</xdr:col>
          <xdr:colOff>586740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50800</xdr:colOff>
      <xdr:row>4</xdr:row>
      <xdr:rowOff>0</xdr:rowOff>
    </xdr:from>
    <xdr:to>
      <xdr:col>4</xdr:col>
      <xdr:colOff>63500</xdr:colOff>
      <xdr:row>5</xdr:row>
      <xdr:rowOff>0</xdr:rowOff>
    </xdr:to>
    <xdr:cxnSp macro="">
      <xdr:nvCxnSpPr>
        <xdr:cNvPr id="23" name="line01">
          <a:extLst>
            <a:ext uri="{FF2B5EF4-FFF2-40B4-BE49-F238E27FC236}">
              <a16:creationId xmlns:a16="http://schemas.microsoft.com/office/drawing/2014/main" id="{E5DCEA4F-9D49-4D4B-BBBA-B42588F1CB63}"/>
            </a:ext>
          </a:extLst>
        </xdr:cNvPr>
        <xdr:cNvCxnSpPr/>
      </xdr:nvCxnSpPr>
      <xdr:spPr>
        <a:xfrm>
          <a:off x="16205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5</xdr:row>
      <xdr:rowOff>0</xdr:rowOff>
    </xdr:from>
    <xdr:to>
      <xdr:col>4</xdr:col>
      <xdr:colOff>63500</xdr:colOff>
      <xdr:row>6</xdr:row>
      <xdr:rowOff>0</xdr:rowOff>
    </xdr:to>
    <xdr:cxnSp macro="">
      <xdr:nvCxnSpPr>
        <xdr:cNvPr id="24" name="line01">
          <a:extLst>
            <a:ext uri="{FF2B5EF4-FFF2-40B4-BE49-F238E27FC236}">
              <a16:creationId xmlns:a16="http://schemas.microsoft.com/office/drawing/2014/main" id="{942D824A-1E74-4E18-AEFB-84764DE05755}"/>
            </a:ext>
          </a:extLst>
        </xdr:cNvPr>
        <xdr:cNvCxnSpPr/>
      </xdr:nvCxnSpPr>
      <xdr:spPr>
        <a:xfrm flipH="1">
          <a:off x="1595120" y="9601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6</xdr:row>
      <xdr:rowOff>0</xdr:rowOff>
    </xdr:from>
    <xdr:to>
      <xdr:col>4</xdr:col>
      <xdr:colOff>38100</xdr:colOff>
      <xdr:row>7</xdr:row>
      <xdr:rowOff>0</xdr:rowOff>
    </xdr:to>
    <xdr:cxnSp macro="">
      <xdr:nvCxnSpPr>
        <xdr:cNvPr id="25" name="line01">
          <a:extLst>
            <a:ext uri="{FF2B5EF4-FFF2-40B4-BE49-F238E27FC236}">
              <a16:creationId xmlns:a16="http://schemas.microsoft.com/office/drawing/2014/main" id="{AA8374DD-BFFC-44A1-A7BB-34A58A486AAB}"/>
            </a:ext>
          </a:extLst>
        </xdr:cNvPr>
        <xdr:cNvCxnSpPr/>
      </xdr:nvCxnSpPr>
      <xdr:spPr>
        <a:xfrm>
          <a:off x="1595120" y="1150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7</xdr:row>
      <xdr:rowOff>0</xdr:rowOff>
    </xdr:from>
    <xdr:to>
      <xdr:col>4</xdr:col>
      <xdr:colOff>101600</xdr:colOff>
      <xdr:row>8</xdr:row>
      <xdr:rowOff>0</xdr:rowOff>
    </xdr:to>
    <xdr:cxnSp macro="">
      <xdr:nvCxnSpPr>
        <xdr:cNvPr id="26" name="line01">
          <a:extLst>
            <a:ext uri="{FF2B5EF4-FFF2-40B4-BE49-F238E27FC236}">
              <a16:creationId xmlns:a16="http://schemas.microsoft.com/office/drawing/2014/main" id="{AF750983-6712-478D-91EF-732BD8BC3C82}"/>
            </a:ext>
          </a:extLst>
        </xdr:cNvPr>
        <xdr:cNvCxnSpPr/>
      </xdr:nvCxnSpPr>
      <xdr:spPr>
        <a:xfrm>
          <a:off x="1607820" y="1341120"/>
          <a:ext cx="63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8</xdr:row>
      <xdr:rowOff>0</xdr:rowOff>
    </xdr:from>
    <xdr:to>
      <xdr:col>4</xdr:col>
      <xdr:colOff>101600</xdr:colOff>
      <xdr:row>9</xdr:row>
      <xdr:rowOff>0</xdr:rowOff>
    </xdr:to>
    <xdr:cxnSp macro="">
      <xdr:nvCxnSpPr>
        <xdr:cNvPr id="27" name="line01">
          <a:extLst>
            <a:ext uri="{FF2B5EF4-FFF2-40B4-BE49-F238E27FC236}">
              <a16:creationId xmlns:a16="http://schemas.microsoft.com/office/drawing/2014/main" id="{FE3F4F6E-C71B-454F-A2BD-A952199DD0B9}"/>
            </a:ext>
          </a:extLst>
        </xdr:cNvPr>
        <xdr:cNvCxnSpPr/>
      </xdr:nvCxnSpPr>
      <xdr:spPr>
        <a:xfrm flipH="1">
          <a:off x="16586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114300</xdr:colOff>
      <xdr:row>10</xdr:row>
      <xdr:rowOff>0</xdr:rowOff>
    </xdr:to>
    <xdr:cxnSp macro="">
      <xdr:nvCxnSpPr>
        <xdr:cNvPr id="28" name="line01">
          <a:extLst>
            <a:ext uri="{FF2B5EF4-FFF2-40B4-BE49-F238E27FC236}">
              <a16:creationId xmlns:a16="http://schemas.microsoft.com/office/drawing/2014/main" id="{D64C689E-64D9-4057-A080-B22791A64E21}"/>
            </a:ext>
          </a:extLst>
        </xdr:cNvPr>
        <xdr:cNvCxnSpPr/>
      </xdr:nvCxnSpPr>
      <xdr:spPr>
        <a:xfrm>
          <a:off x="1658620" y="1722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10</xdr:row>
      <xdr:rowOff>0</xdr:rowOff>
    </xdr:from>
    <xdr:to>
      <xdr:col>4</xdr:col>
      <xdr:colOff>114300</xdr:colOff>
      <xdr:row>11</xdr:row>
      <xdr:rowOff>0</xdr:rowOff>
    </xdr:to>
    <xdr:cxnSp macro="">
      <xdr:nvCxnSpPr>
        <xdr:cNvPr id="29" name="line01">
          <a:extLst>
            <a:ext uri="{FF2B5EF4-FFF2-40B4-BE49-F238E27FC236}">
              <a16:creationId xmlns:a16="http://schemas.microsoft.com/office/drawing/2014/main" id="{7AE23D38-8DA5-4A56-9228-8721C9D63042}"/>
            </a:ext>
          </a:extLst>
        </xdr:cNvPr>
        <xdr:cNvCxnSpPr/>
      </xdr:nvCxnSpPr>
      <xdr:spPr>
        <a:xfrm flipH="1">
          <a:off x="1645920" y="19126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30" name="line01">
          <a:extLst>
            <a:ext uri="{FF2B5EF4-FFF2-40B4-BE49-F238E27FC236}">
              <a16:creationId xmlns:a16="http://schemas.microsoft.com/office/drawing/2014/main" id="{FCCEAA81-5EAD-478E-921C-EA0894E810D9}"/>
            </a:ext>
          </a:extLst>
        </xdr:cNvPr>
        <xdr:cNvCxnSpPr/>
      </xdr:nvCxnSpPr>
      <xdr:spPr>
        <a:xfrm>
          <a:off x="1645920" y="2103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88900</xdr:colOff>
      <xdr:row>13</xdr:row>
      <xdr:rowOff>0</xdr:rowOff>
    </xdr:to>
    <xdr:cxnSp macro="">
      <xdr:nvCxnSpPr>
        <xdr:cNvPr id="31" name="line01">
          <a:extLst>
            <a:ext uri="{FF2B5EF4-FFF2-40B4-BE49-F238E27FC236}">
              <a16:creationId xmlns:a16="http://schemas.microsoft.com/office/drawing/2014/main" id="{9B38ED9C-F83B-476D-A6DA-605E63E41B2A}"/>
            </a:ext>
          </a:extLst>
        </xdr:cNvPr>
        <xdr:cNvCxnSpPr/>
      </xdr:nvCxnSpPr>
      <xdr:spPr>
        <a:xfrm>
          <a:off x="16459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13</xdr:row>
      <xdr:rowOff>0</xdr:rowOff>
    </xdr:from>
    <xdr:to>
      <xdr:col>4</xdr:col>
      <xdr:colOff>88900</xdr:colOff>
      <xdr:row>14</xdr:row>
      <xdr:rowOff>0</xdr:rowOff>
    </xdr:to>
    <xdr:cxnSp macro="">
      <xdr:nvCxnSpPr>
        <xdr:cNvPr id="32" name="line01">
          <a:extLst>
            <a:ext uri="{FF2B5EF4-FFF2-40B4-BE49-F238E27FC236}">
              <a16:creationId xmlns:a16="http://schemas.microsoft.com/office/drawing/2014/main" id="{14E12A60-A1B8-43FB-82CB-3C42B3F4B9D3}"/>
            </a:ext>
          </a:extLst>
        </xdr:cNvPr>
        <xdr:cNvCxnSpPr/>
      </xdr:nvCxnSpPr>
      <xdr:spPr>
        <a:xfrm flipH="1">
          <a:off x="1607820" y="2484120"/>
          <a:ext cx="508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14</xdr:row>
      <xdr:rowOff>0</xdr:rowOff>
    </xdr:from>
    <xdr:to>
      <xdr:col>4</xdr:col>
      <xdr:colOff>127000</xdr:colOff>
      <xdr:row>15</xdr:row>
      <xdr:rowOff>0</xdr:rowOff>
    </xdr:to>
    <xdr:cxnSp macro="">
      <xdr:nvCxnSpPr>
        <xdr:cNvPr id="33" name="line01">
          <a:extLst>
            <a:ext uri="{FF2B5EF4-FFF2-40B4-BE49-F238E27FC236}">
              <a16:creationId xmlns:a16="http://schemas.microsoft.com/office/drawing/2014/main" id="{91203923-D7D2-44E4-B1C9-6320BC4FA2EB}"/>
            </a:ext>
          </a:extLst>
        </xdr:cNvPr>
        <xdr:cNvCxnSpPr/>
      </xdr:nvCxnSpPr>
      <xdr:spPr>
        <a:xfrm>
          <a:off x="16078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127000</xdr:colOff>
      <xdr:row>15</xdr:row>
      <xdr:rowOff>0</xdr:rowOff>
    </xdr:from>
    <xdr:to>
      <xdr:col>4</xdr:col>
      <xdr:colOff>241300</xdr:colOff>
      <xdr:row>16</xdr:row>
      <xdr:rowOff>0</xdr:rowOff>
    </xdr:to>
    <xdr:cxnSp macro="">
      <xdr:nvCxnSpPr>
        <xdr:cNvPr id="34" name="line01">
          <a:extLst>
            <a:ext uri="{FF2B5EF4-FFF2-40B4-BE49-F238E27FC236}">
              <a16:creationId xmlns:a16="http://schemas.microsoft.com/office/drawing/2014/main" id="{95777B75-6D42-4FA1-B265-002CC81DC08D}"/>
            </a:ext>
          </a:extLst>
        </xdr:cNvPr>
        <xdr:cNvCxnSpPr/>
      </xdr:nvCxnSpPr>
      <xdr:spPr>
        <a:xfrm>
          <a:off x="1696720" y="2865120"/>
          <a:ext cx="1143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241300</xdr:colOff>
      <xdr:row>16</xdr:row>
      <xdr:rowOff>0</xdr:rowOff>
    </xdr:from>
    <xdr:to>
      <xdr:col>4</xdr:col>
      <xdr:colOff>444500</xdr:colOff>
      <xdr:row>17</xdr:row>
      <xdr:rowOff>0</xdr:rowOff>
    </xdr:to>
    <xdr:cxnSp macro="">
      <xdr:nvCxnSpPr>
        <xdr:cNvPr id="35" name="line01">
          <a:extLst>
            <a:ext uri="{FF2B5EF4-FFF2-40B4-BE49-F238E27FC236}">
              <a16:creationId xmlns:a16="http://schemas.microsoft.com/office/drawing/2014/main" id="{B0A2F6DB-589F-43F7-B164-542531D439FE}"/>
            </a:ext>
          </a:extLst>
        </xdr:cNvPr>
        <xdr:cNvCxnSpPr/>
      </xdr:nvCxnSpPr>
      <xdr:spPr>
        <a:xfrm>
          <a:off x="1811020" y="3055620"/>
          <a:ext cx="2032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444500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36" name="line01">
          <a:extLst>
            <a:ext uri="{FF2B5EF4-FFF2-40B4-BE49-F238E27FC236}">
              <a16:creationId xmlns:a16="http://schemas.microsoft.com/office/drawing/2014/main" id="{ED221484-2820-4DBB-BEBA-C6A46C11C0A4}"/>
            </a:ext>
          </a:extLst>
        </xdr:cNvPr>
        <xdr:cNvCxnSpPr/>
      </xdr:nvCxnSpPr>
      <xdr:spPr>
        <a:xfrm>
          <a:off x="2014220" y="3246120"/>
          <a:ext cx="825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18</xdr:row>
      <xdr:rowOff>0</xdr:rowOff>
    </xdr:from>
    <xdr:to>
      <xdr:col>6</xdr:col>
      <xdr:colOff>35560</xdr:colOff>
      <xdr:row>19</xdr:row>
      <xdr:rowOff>0</xdr:rowOff>
    </xdr:to>
    <xdr:cxnSp macro="">
      <xdr:nvCxnSpPr>
        <xdr:cNvPr id="37" name="line01">
          <a:extLst>
            <a:ext uri="{FF2B5EF4-FFF2-40B4-BE49-F238E27FC236}">
              <a16:creationId xmlns:a16="http://schemas.microsoft.com/office/drawing/2014/main" id="{A495A565-3584-403E-BADA-56506D4AF6F1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19</xdr:row>
      <xdr:rowOff>0</xdr:rowOff>
    </xdr:from>
    <xdr:to>
      <xdr:col>6</xdr:col>
      <xdr:colOff>35560</xdr:colOff>
      <xdr:row>20</xdr:row>
      <xdr:rowOff>0</xdr:rowOff>
    </xdr:to>
    <xdr:cxnSp macro="">
      <xdr:nvCxnSpPr>
        <xdr:cNvPr id="38" name="line01">
          <a:extLst>
            <a:ext uri="{FF2B5EF4-FFF2-40B4-BE49-F238E27FC236}">
              <a16:creationId xmlns:a16="http://schemas.microsoft.com/office/drawing/2014/main" id="{1412DCEA-A3F1-4A72-A71D-B0EDF8F8A799}"/>
            </a:ext>
          </a:extLst>
        </xdr:cNvPr>
        <xdr:cNvCxnSpPr/>
      </xdr:nvCxnSpPr>
      <xdr:spPr>
        <a:xfrm>
          <a:off x="2839720" y="3627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140970</xdr:rowOff>
    </xdr:from>
    <xdr:to>
      <xdr:col>5</xdr:col>
      <xdr:colOff>0</xdr:colOff>
      <xdr:row>2</xdr:row>
      <xdr:rowOff>140970</xdr:rowOff>
    </xdr:to>
    <xdr:cxnSp macro="">
      <xdr:nvCxnSpPr>
        <xdr:cNvPr id="39" name="line01">
          <a:extLst>
            <a:ext uri="{FF2B5EF4-FFF2-40B4-BE49-F238E27FC236}">
              <a16:creationId xmlns:a16="http://schemas.microsoft.com/office/drawing/2014/main" id="{E558CE95-25DE-4D4F-A187-062F47874606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308610</xdr:colOff>
      <xdr:row>14</xdr:row>
      <xdr:rowOff>171450</xdr:rowOff>
    </xdr:to>
    <xdr:cxnSp macro="">
      <xdr:nvCxnSpPr>
        <xdr:cNvPr id="40" name="line01">
          <a:extLst>
            <a:ext uri="{FF2B5EF4-FFF2-40B4-BE49-F238E27FC236}">
              <a16:creationId xmlns:a16="http://schemas.microsoft.com/office/drawing/2014/main" id="{99A564F5-CB22-4807-8E7E-51C2A1CB54E8}"/>
            </a:ext>
          </a:extLst>
        </xdr:cNvPr>
        <xdr:cNvCxnSpPr/>
      </xdr:nvCxnSpPr>
      <xdr:spPr>
        <a:xfrm>
          <a:off x="18783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4</xdr:row>
      <xdr:rowOff>0</xdr:rowOff>
    </xdr:from>
    <xdr:to>
      <xdr:col>4</xdr:col>
      <xdr:colOff>499110</xdr:colOff>
      <xdr:row>14</xdr:row>
      <xdr:rowOff>171450</xdr:rowOff>
    </xdr:to>
    <xdr:cxnSp macro="">
      <xdr:nvCxnSpPr>
        <xdr:cNvPr id="41" name="line01">
          <a:extLst>
            <a:ext uri="{FF2B5EF4-FFF2-40B4-BE49-F238E27FC236}">
              <a16:creationId xmlns:a16="http://schemas.microsoft.com/office/drawing/2014/main" id="{84F369B3-F0C3-4A46-BA99-F2AE6089153E}"/>
            </a:ext>
          </a:extLst>
        </xdr:cNvPr>
        <xdr:cNvCxnSpPr/>
      </xdr:nvCxnSpPr>
      <xdr:spPr>
        <a:xfrm>
          <a:off x="2068830" y="7696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4</xdr:row>
      <xdr:rowOff>0</xdr:rowOff>
    </xdr:from>
    <xdr:to>
      <xdr:col>4</xdr:col>
      <xdr:colOff>499110</xdr:colOff>
      <xdr:row>4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438585B6-5854-424F-8E25-DE3B58EEA391}"/>
            </a:ext>
          </a:extLst>
        </xdr:cNvPr>
        <xdr:cNvCxnSpPr/>
      </xdr:nvCxnSpPr>
      <xdr:spPr>
        <a:xfrm>
          <a:off x="1878330" y="769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171450</xdr:rowOff>
    </xdr:from>
    <xdr:to>
      <xdr:col>4</xdr:col>
      <xdr:colOff>499110</xdr:colOff>
      <xdr:row>14</xdr:row>
      <xdr:rowOff>171450</xdr:rowOff>
    </xdr:to>
    <xdr:cxnSp macro="">
      <xdr:nvCxnSpPr>
        <xdr:cNvPr id="43" name="line01">
          <a:extLst>
            <a:ext uri="{FF2B5EF4-FFF2-40B4-BE49-F238E27FC236}">
              <a16:creationId xmlns:a16="http://schemas.microsoft.com/office/drawing/2014/main" id="{E5C4B54E-5D49-4B47-B3CE-9E7E9692F09B}"/>
            </a:ext>
          </a:extLst>
        </xdr:cNvPr>
        <xdr:cNvCxnSpPr/>
      </xdr:nvCxnSpPr>
      <xdr:spPr>
        <a:xfrm>
          <a:off x="1878330" y="28460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X100"/>
  <sheetViews>
    <sheetView tabSelected="1" workbookViewId="0">
      <selection activeCell="J31" sqref="J31"/>
    </sheetView>
  </sheetViews>
  <sheetFormatPr defaultColWidth="9" defaultRowHeight="13.2" x14ac:dyDescent="0.2"/>
  <cols>
    <col min="1" max="4" width="6.6640625" style="1" customWidth="1"/>
    <col min="5" max="5" width="16.109375" style="1" customWidth="1"/>
    <col min="6" max="7" width="6.6640625" style="1" customWidth="1"/>
    <col min="8" max="9" width="8.5546875" style="1" customWidth="1"/>
    <col min="10" max="10" width="15.21875" style="1" customWidth="1"/>
    <col min="11" max="11" width="7.21875" style="1" customWidth="1"/>
    <col min="12" max="12" width="10" style="1" bestFit="1" customWidth="1"/>
    <col min="13" max="13" width="15.33203125" style="1" customWidth="1"/>
    <col min="14" max="14" width="9" style="1"/>
    <col min="15" max="15" width="7.21875" style="1" customWidth="1"/>
    <col min="16" max="16" width="12.33203125" style="1" customWidth="1"/>
    <col min="17" max="17" width="9.88671875" style="1" customWidth="1"/>
    <col min="18" max="18" width="16.88671875" style="1" customWidth="1"/>
    <col min="19" max="16384" width="9" style="1"/>
  </cols>
  <sheetData>
    <row r="1" spans="1:24" x14ac:dyDescent="0.2">
      <c r="B1" s="1">
        <v>21</v>
      </c>
      <c r="O1" s="1">
        <v>26</v>
      </c>
    </row>
    <row r="2" spans="1:24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24</v>
      </c>
    </row>
    <row r="3" spans="1:24" x14ac:dyDescent="0.2">
      <c r="B3" s="4" t="s">
        <v>11</v>
      </c>
      <c r="C3" s="4" t="s">
        <v>12</v>
      </c>
      <c r="D3" s="4" t="s">
        <v>9</v>
      </c>
      <c r="E3" s="4" t="s">
        <v>10</v>
      </c>
      <c r="F3" s="1">
        <v>6</v>
      </c>
      <c r="J3" s="4"/>
      <c r="K3"/>
      <c r="L3"/>
      <c r="M3"/>
      <c r="N3"/>
      <c r="O3"/>
      <c r="P3"/>
      <c r="Q3"/>
      <c r="R3"/>
      <c r="S3"/>
      <c r="T3"/>
      <c r="U3" s="4" t="s">
        <v>65</v>
      </c>
      <c r="V3" s="4" t="s">
        <v>19</v>
      </c>
      <c r="W3" s="4" t="s">
        <v>20</v>
      </c>
      <c r="X3" s="4" t="s">
        <v>21</v>
      </c>
    </row>
    <row r="4" spans="1:24" ht="15" x14ac:dyDescent="0.3">
      <c r="A4" s="1">
        <v>1</v>
      </c>
      <c r="B4" s="1">
        <v>1.3</v>
      </c>
      <c r="C4" s="1">
        <v>1</v>
      </c>
      <c r="D4" s="5">
        <v>3</v>
      </c>
      <c r="E4" s="4" t="s">
        <v>23</v>
      </c>
      <c r="F4" s="4" t="s">
        <v>24</v>
      </c>
      <c r="G4" s="1">
        <v>16</v>
      </c>
      <c r="H4" s="17" t="s">
        <v>0</v>
      </c>
      <c r="I4" s="18">
        <v>1000</v>
      </c>
      <c r="J4" s="6">
        <v>1</v>
      </c>
      <c r="K4">
        <v>1.3</v>
      </c>
      <c r="L4">
        <v>1</v>
      </c>
      <c r="M4" t="s">
        <v>65</v>
      </c>
      <c r="N4" t="s">
        <v>82</v>
      </c>
      <c r="O4">
        <v>1.2999999523162842</v>
      </c>
      <c r="P4"/>
      <c r="Q4">
        <v>4</v>
      </c>
      <c r="R4"/>
      <c r="S4"/>
      <c r="T4"/>
      <c r="U4" s="1" t="s">
        <v>66</v>
      </c>
      <c r="V4" s="1">
        <v>0</v>
      </c>
      <c r="W4" s="1">
        <v>0</v>
      </c>
    </row>
    <row r="5" spans="1:24" ht="15" x14ac:dyDescent="0.3">
      <c r="A5" s="1">
        <v>2</v>
      </c>
      <c r="B5" s="1">
        <v>2.2999999999999998</v>
      </c>
      <c r="C5" s="1">
        <v>1</v>
      </c>
      <c r="D5" s="5">
        <v>4</v>
      </c>
      <c r="E5" s="4" t="s">
        <v>27</v>
      </c>
      <c r="F5" s="4" t="s">
        <v>28</v>
      </c>
      <c r="G5" s="1">
        <v>18</v>
      </c>
      <c r="H5" s="16" t="s">
        <v>85</v>
      </c>
      <c r="I5" s="16">
        <v>1.5</v>
      </c>
      <c r="J5" s="6">
        <v>2</v>
      </c>
      <c r="K5">
        <v>1.5</v>
      </c>
      <c r="L5">
        <v>1</v>
      </c>
      <c r="M5" t="s">
        <v>65</v>
      </c>
      <c r="N5" t="s">
        <v>82</v>
      </c>
      <c r="O5">
        <v>0.20000000298023224</v>
      </c>
      <c r="P5">
        <v>1</v>
      </c>
      <c r="Q5">
        <v>6</v>
      </c>
      <c r="R5"/>
      <c r="S5"/>
      <c r="T5"/>
      <c r="U5" s="1" t="s">
        <v>67</v>
      </c>
      <c r="V5" s="1">
        <v>0</v>
      </c>
      <c r="W5" s="1">
        <v>0</v>
      </c>
    </row>
    <row r="6" spans="1:24" ht="15" x14ac:dyDescent="0.3">
      <c r="A6" s="1">
        <v>3</v>
      </c>
      <c r="B6" s="1">
        <f>B5+1</f>
        <v>3.3</v>
      </c>
      <c r="C6" s="1">
        <v>2</v>
      </c>
      <c r="D6" s="5">
        <v>5.05</v>
      </c>
      <c r="E6" s="4" t="s">
        <v>30</v>
      </c>
      <c r="F6" s="4" t="s">
        <v>28</v>
      </c>
      <c r="G6" s="1">
        <v>18</v>
      </c>
      <c r="H6" s="16" t="s">
        <v>1</v>
      </c>
      <c r="I6" s="16">
        <v>10.9</v>
      </c>
      <c r="J6" s="6">
        <v>3</v>
      </c>
      <c r="K6">
        <v>2.2999999999999998</v>
      </c>
      <c r="L6">
        <v>1</v>
      </c>
      <c r="M6" t="s">
        <v>65</v>
      </c>
      <c r="N6" t="s">
        <v>82</v>
      </c>
      <c r="O6">
        <v>0.80000001192092896</v>
      </c>
      <c r="P6">
        <v>1</v>
      </c>
      <c r="Q6">
        <v>8</v>
      </c>
      <c r="R6"/>
      <c r="S6"/>
      <c r="T6"/>
      <c r="U6" s="1" t="s">
        <v>67</v>
      </c>
      <c r="V6" s="1">
        <v>0</v>
      </c>
      <c r="W6" s="1">
        <v>0</v>
      </c>
    </row>
    <row r="7" spans="1:24" ht="15" x14ac:dyDescent="0.3">
      <c r="A7" s="1">
        <v>4</v>
      </c>
      <c r="B7" s="1">
        <f>B6+1</f>
        <v>4.3</v>
      </c>
      <c r="C7" s="1">
        <v>5</v>
      </c>
      <c r="D7" s="5">
        <v>6</v>
      </c>
      <c r="E7" s="4" t="s">
        <v>30</v>
      </c>
      <c r="F7" s="4" t="s">
        <v>28</v>
      </c>
      <c r="G7" s="1">
        <v>16</v>
      </c>
      <c r="H7" s="9" t="s">
        <v>5</v>
      </c>
      <c r="I7" s="9">
        <f>I8-I4/1000*J7</f>
        <v>8.4</v>
      </c>
      <c r="J7" s="6">
        <v>4</v>
      </c>
      <c r="K7">
        <v>3</v>
      </c>
      <c r="L7">
        <v>1.7000000476837158</v>
      </c>
      <c r="M7" t="s">
        <v>65</v>
      </c>
      <c r="N7" t="s">
        <v>82</v>
      </c>
      <c r="O7">
        <v>0.69999998807907104</v>
      </c>
      <c r="P7">
        <v>1.3500000238418579</v>
      </c>
      <c r="Q7">
        <v>10</v>
      </c>
      <c r="R7"/>
      <c r="S7"/>
      <c r="T7"/>
      <c r="U7" s="1" t="s">
        <v>68</v>
      </c>
      <c r="V7" s="1">
        <v>1.8500000238418579</v>
      </c>
      <c r="W7" s="1">
        <v>0.5549999475479126</v>
      </c>
    </row>
    <row r="8" spans="1:24" ht="15" x14ac:dyDescent="0.3">
      <c r="A8" s="1">
        <v>5</v>
      </c>
      <c r="B8" s="1">
        <f t="shared" ref="B8:B24" si="0">B7+1</f>
        <v>5.3</v>
      </c>
      <c r="C8" s="1">
        <v>1</v>
      </c>
      <c r="D8" s="5">
        <v>13</v>
      </c>
      <c r="E8" s="4" t="s">
        <v>34</v>
      </c>
      <c r="F8" s="4" t="s">
        <v>31</v>
      </c>
      <c r="G8" s="1">
        <v>20</v>
      </c>
      <c r="H8" s="9" t="s">
        <v>4</v>
      </c>
      <c r="I8" s="9">
        <f>I5+I6</f>
        <v>12.4</v>
      </c>
      <c r="J8" s="6">
        <v>5</v>
      </c>
      <c r="K8">
        <v>3.3</v>
      </c>
      <c r="L8">
        <v>2</v>
      </c>
      <c r="M8" t="s">
        <v>66</v>
      </c>
      <c r="N8" t="s">
        <v>83</v>
      </c>
      <c r="O8">
        <v>0.30000001192092896</v>
      </c>
      <c r="P8">
        <v>1.8500000238418579</v>
      </c>
      <c r="Q8">
        <v>18</v>
      </c>
      <c r="R8"/>
      <c r="S8"/>
      <c r="T8"/>
      <c r="U8" s="1" t="s">
        <v>69</v>
      </c>
      <c r="V8" s="1">
        <v>3.0499997138977051</v>
      </c>
      <c r="W8" s="1">
        <v>2.1349999904632568</v>
      </c>
    </row>
    <row r="9" spans="1:24" ht="15" x14ac:dyDescent="0.3">
      <c r="A9" s="1">
        <v>6</v>
      </c>
      <c r="B9" s="1">
        <f t="shared" si="0"/>
        <v>6.3</v>
      </c>
      <c r="C9" s="1">
        <v>3</v>
      </c>
      <c r="D9" s="5">
        <v>21.3</v>
      </c>
      <c r="E9" s="4" t="s">
        <v>36</v>
      </c>
      <c r="F9" s="4" t="s">
        <v>31</v>
      </c>
      <c r="G9" s="1">
        <v>20</v>
      </c>
      <c r="H9" s="9" t="s">
        <v>6</v>
      </c>
      <c r="I9" s="9">
        <f>I8+I4/1000*J9</f>
        <v>18.399999999999999</v>
      </c>
      <c r="J9" s="6">
        <v>6</v>
      </c>
      <c r="K9">
        <v>4</v>
      </c>
      <c r="L9">
        <v>4.0999999046325684</v>
      </c>
      <c r="M9" t="s">
        <v>66</v>
      </c>
      <c r="N9" t="s">
        <v>83</v>
      </c>
      <c r="O9">
        <v>0.69999998807907104</v>
      </c>
      <c r="P9">
        <v>3.0499999523162842</v>
      </c>
      <c r="Q9">
        <v>28</v>
      </c>
      <c r="R9"/>
      <c r="S9"/>
      <c r="T9"/>
      <c r="V9" s="1">
        <v>0</v>
      </c>
      <c r="W9" s="1">
        <v>0</v>
      </c>
    </row>
    <row r="10" spans="1:24" x14ac:dyDescent="0.2">
      <c r="A10" s="1">
        <v>7</v>
      </c>
      <c r="B10" s="1">
        <f t="shared" si="0"/>
        <v>7.3</v>
      </c>
      <c r="C10" s="1">
        <v>4</v>
      </c>
      <c r="J10" s="6">
        <v>7</v>
      </c>
      <c r="K10">
        <v>4.3</v>
      </c>
      <c r="L10">
        <v>5</v>
      </c>
      <c r="M10" t="s">
        <v>67</v>
      </c>
      <c r="N10" t="s">
        <v>83</v>
      </c>
      <c r="O10">
        <v>0.30000001192092896</v>
      </c>
      <c r="P10">
        <v>4.5499999523162842</v>
      </c>
      <c r="Q10"/>
      <c r="R10"/>
      <c r="S10"/>
      <c r="T10"/>
      <c r="V10" s="1">
        <v>0</v>
      </c>
      <c r="W10" s="1">
        <v>0</v>
      </c>
    </row>
    <row r="11" spans="1:24" x14ac:dyDescent="0.2">
      <c r="A11" s="1">
        <v>8</v>
      </c>
      <c r="B11" s="1">
        <f t="shared" si="0"/>
        <v>8.3000000000000007</v>
      </c>
      <c r="C11" s="1">
        <v>11</v>
      </c>
      <c r="F11"/>
      <c r="G11"/>
      <c r="H11"/>
      <c r="I11"/>
      <c r="J11" s="6">
        <v>8</v>
      </c>
      <c r="K11">
        <v>5.0500001907348633</v>
      </c>
      <c r="L11">
        <v>1.9999992847442627</v>
      </c>
      <c r="M11" t="s">
        <v>67</v>
      </c>
      <c r="N11" t="s">
        <v>83</v>
      </c>
      <c r="O11">
        <v>0.75000017881393433</v>
      </c>
      <c r="P11">
        <v>3.4999996423721313</v>
      </c>
      <c r="Q11"/>
      <c r="R11"/>
      <c r="S11"/>
      <c r="T11"/>
      <c r="V11" s="1">
        <v>1.5</v>
      </c>
      <c r="W11" s="1">
        <v>0.375</v>
      </c>
    </row>
    <row r="12" spans="1:24" x14ac:dyDescent="0.2">
      <c r="A12" s="1">
        <v>9</v>
      </c>
      <c r="B12" s="1">
        <f t="shared" si="0"/>
        <v>9.3000000000000007</v>
      </c>
      <c r="C12" s="1">
        <v>15</v>
      </c>
      <c r="F12"/>
      <c r="G12"/>
      <c r="H12"/>
      <c r="I12"/>
      <c r="J12" s="6">
        <v>9</v>
      </c>
      <c r="K12">
        <v>5.3</v>
      </c>
      <c r="L12">
        <v>1</v>
      </c>
      <c r="M12" t="s">
        <v>67</v>
      </c>
      <c r="N12" t="s">
        <v>83</v>
      </c>
      <c r="O12">
        <v>0.24999980628490448</v>
      </c>
      <c r="P12">
        <v>1.4999996423721313</v>
      </c>
      <c r="Q12"/>
      <c r="R12"/>
      <c r="S12"/>
      <c r="T12"/>
      <c r="V12" s="1">
        <v>1.6999998092651367</v>
      </c>
      <c r="W12" s="1">
        <v>1.1899995803833008</v>
      </c>
    </row>
    <row r="13" spans="1:24" x14ac:dyDescent="0.2">
      <c r="A13" s="1">
        <v>10</v>
      </c>
      <c r="B13" s="1">
        <f t="shared" si="0"/>
        <v>10.3</v>
      </c>
      <c r="C13" s="1">
        <v>16</v>
      </c>
      <c r="F13"/>
      <c r="G13"/>
      <c r="H13"/>
      <c r="I13"/>
      <c r="J13" s="6">
        <v>10</v>
      </c>
      <c r="K13">
        <v>6</v>
      </c>
      <c r="L13">
        <v>2.4000000953674316</v>
      </c>
      <c r="M13" t="s">
        <v>67</v>
      </c>
      <c r="N13" t="s">
        <v>83</v>
      </c>
      <c r="O13">
        <v>0.69999998807907104</v>
      </c>
      <c r="P13">
        <v>1.7000000476837158</v>
      </c>
      <c r="Q13"/>
      <c r="R13"/>
      <c r="S13"/>
      <c r="T13"/>
      <c r="V13" s="1">
        <v>0</v>
      </c>
      <c r="W13" s="1">
        <v>0</v>
      </c>
    </row>
    <row r="14" spans="1:24" x14ac:dyDescent="0.2">
      <c r="A14" s="1">
        <v>11</v>
      </c>
      <c r="B14" s="1">
        <f>1+B13</f>
        <v>11.3</v>
      </c>
      <c r="C14" s="1">
        <v>13</v>
      </c>
      <c r="F14"/>
      <c r="G14"/>
      <c r="H14"/>
      <c r="I14"/>
      <c r="J14" s="6">
        <v>11</v>
      </c>
      <c r="K14">
        <v>6.3</v>
      </c>
      <c r="L14">
        <v>3</v>
      </c>
      <c r="M14" t="s">
        <v>68</v>
      </c>
      <c r="N14" t="s">
        <v>84</v>
      </c>
      <c r="O14">
        <v>0.30000001192092896</v>
      </c>
      <c r="P14">
        <v>2.7000000476837158</v>
      </c>
      <c r="Q14"/>
      <c r="R14"/>
      <c r="S14"/>
      <c r="T14"/>
      <c r="V14" s="1">
        <v>0</v>
      </c>
      <c r="W14" s="1">
        <v>0</v>
      </c>
    </row>
    <row r="15" spans="1:24" x14ac:dyDescent="0.2">
      <c r="A15" s="1">
        <v>12</v>
      </c>
      <c r="B15" s="1">
        <f t="shared" si="0"/>
        <v>12.3</v>
      </c>
      <c r="C15" s="1">
        <v>12</v>
      </c>
      <c r="F15"/>
      <c r="G15"/>
      <c r="H15"/>
      <c r="I15"/>
      <c r="J15" s="6">
        <v>12</v>
      </c>
      <c r="K15">
        <v>7.3</v>
      </c>
      <c r="L15">
        <v>4</v>
      </c>
      <c r="M15" t="s">
        <v>68</v>
      </c>
      <c r="N15" t="s">
        <v>84</v>
      </c>
      <c r="O15">
        <v>1</v>
      </c>
      <c r="P15">
        <v>3.5</v>
      </c>
      <c r="Q15"/>
      <c r="R15"/>
      <c r="S15"/>
      <c r="T15"/>
      <c r="V15" s="1">
        <v>0</v>
      </c>
      <c r="W15" s="1">
        <v>0</v>
      </c>
    </row>
    <row r="16" spans="1:24" x14ac:dyDescent="0.2">
      <c r="A16" s="1">
        <v>13</v>
      </c>
      <c r="B16" s="1">
        <f t="shared" si="0"/>
        <v>13.3</v>
      </c>
      <c r="C16" s="1">
        <v>20</v>
      </c>
      <c r="F16"/>
      <c r="G16"/>
      <c r="H16"/>
      <c r="I16"/>
      <c r="J16" s="6">
        <v>13</v>
      </c>
      <c r="K16">
        <v>8.3000000000000007</v>
      </c>
      <c r="L16">
        <v>11</v>
      </c>
      <c r="M16" t="s">
        <v>68</v>
      </c>
      <c r="N16" t="s">
        <v>84</v>
      </c>
      <c r="O16">
        <v>1</v>
      </c>
      <c r="P16">
        <v>7.5</v>
      </c>
      <c r="Q16"/>
      <c r="R16"/>
      <c r="S16"/>
      <c r="T16"/>
      <c r="V16" s="1">
        <v>0</v>
      </c>
      <c r="W16" s="1">
        <v>0</v>
      </c>
    </row>
    <row r="17" spans="1:23" x14ac:dyDescent="0.2">
      <c r="A17" s="1">
        <v>14</v>
      </c>
      <c r="B17" s="1">
        <f t="shared" si="0"/>
        <v>14.3</v>
      </c>
      <c r="C17" s="1">
        <v>18</v>
      </c>
      <c r="F17"/>
      <c r="G17"/>
      <c r="H17"/>
      <c r="I17"/>
      <c r="J17" s="6">
        <v>14</v>
      </c>
      <c r="K17">
        <v>9.3000000000000007</v>
      </c>
      <c r="L17">
        <v>15</v>
      </c>
      <c r="M17" t="s">
        <v>68</v>
      </c>
      <c r="N17" t="s">
        <v>84</v>
      </c>
      <c r="O17">
        <v>1</v>
      </c>
      <c r="P17">
        <v>13</v>
      </c>
      <c r="Q17"/>
      <c r="R17"/>
      <c r="S17"/>
      <c r="T17"/>
      <c r="V17" s="1">
        <v>0</v>
      </c>
      <c r="W17" s="1">
        <v>0</v>
      </c>
    </row>
    <row r="18" spans="1:23" x14ac:dyDescent="0.2">
      <c r="A18" s="1">
        <v>15</v>
      </c>
      <c r="B18" s="1">
        <f t="shared" si="0"/>
        <v>15.3</v>
      </c>
      <c r="C18" s="1">
        <v>22</v>
      </c>
      <c r="F18"/>
      <c r="G18"/>
      <c r="H18"/>
      <c r="I18"/>
      <c r="J18" s="6">
        <v>15</v>
      </c>
      <c r="K18">
        <v>10.3</v>
      </c>
      <c r="L18">
        <v>16</v>
      </c>
      <c r="M18" t="s">
        <v>68</v>
      </c>
      <c r="N18" t="s">
        <v>84</v>
      </c>
      <c r="O18">
        <v>1</v>
      </c>
      <c r="P18">
        <v>15.5</v>
      </c>
      <c r="Q18"/>
      <c r="R18"/>
      <c r="S18"/>
      <c r="T18"/>
      <c r="V18" s="1">
        <v>0</v>
      </c>
      <c r="W18" s="1">
        <v>0</v>
      </c>
    </row>
    <row r="19" spans="1:23" x14ac:dyDescent="0.2">
      <c r="A19" s="1">
        <v>16</v>
      </c>
      <c r="B19" s="1">
        <f t="shared" si="0"/>
        <v>16.3</v>
      </c>
      <c r="C19" s="1">
        <v>24</v>
      </c>
      <c r="F19"/>
      <c r="G19"/>
      <c r="H19"/>
      <c r="I19"/>
      <c r="J19" s="6">
        <v>16</v>
      </c>
      <c r="K19">
        <v>11.3</v>
      </c>
      <c r="L19">
        <v>13</v>
      </c>
      <c r="M19" t="s">
        <v>68</v>
      </c>
      <c r="N19" t="s">
        <v>84</v>
      </c>
      <c r="O19">
        <v>1</v>
      </c>
      <c r="P19">
        <v>14.5</v>
      </c>
      <c r="Q19"/>
      <c r="R19"/>
      <c r="S19"/>
      <c r="T19"/>
      <c r="V19" s="1">
        <v>0</v>
      </c>
      <c r="W19" s="1">
        <v>0</v>
      </c>
    </row>
    <row r="20" spans="1:23" x14ac:dyDescent="0.2">
      <c r="A20" s="1">
        <v>17</v>
      </c>
      <c r="B20" s="1">
        <f t="shared" si="0"/>
        <v>17.3</v>
      </c>
      <c r="C20" s="1">
        <v>20</v>
      </c>
      <c r="F20"/>
      <c r="G20"/>
      <c r="H20"/>
      <c r="I20"/>
      <c r="J20" s="6">
        <v>17</v>
      </c>
      <c r="K20">
        <v>12.3</v>
      </c>
      <c r="L20">
        <v>12</v>
      </c>
      <c r="M20" t="s">
        <v>68</v>
      </c>
      <c r="N20" t="s">
        <v>84</v>
      </c>
      <c r="O20">
        <v>1</v>
      </c>
      <c r="P20">
        <v>12.5</v>
      </c>
      <c r="Q20"/>
      <c r="R20"/>
      <c r="S20"/>
      <c r="T20"/>
      <c r="V20" s="1">
        <v>0</v>
      </c>
      <c r="W20" s="1">
        <v>0</v>
      </c>
    </row>
    <row r="21" spans="1:23" x14ac:dyDescent="0.2">
      <c r="A21" s="1">
        <v>18</v>
      </c>
      <c r="B21" s="1">
        <f t="shared" si="0"/>
        <v>18.3</v>
      </c>
      <c r="C21" s="1">
        <v>25</v>
      </c>
      <c r="F21"/>
      <c r="G21"/>
      <c r="H21"/>
      <c r="I21"/>
      <c r="J21" s="6">
        <v>18</v>
      </c>
      <c r="K21">
        <v>13</v>
      </c>
      <c r="L21">
        <v>17.600000381469727</v>
      </c>
      <c r="M21" t="s">
        <v>68</v>
      </c>
      <c r="N21" t="s">
        <v>84</v>
      </c>
      <c r="O21">
        <v>0.69999998807907104</v>
      </c>
      <c r="P21">
        <v>14.800000190734863</v>
      </c>
      <c r="Q21"/>
      <c r="R21"/>
      <c r="S21"/>
      <c r="T21"/>
      <c r="V21" s="1">
        <v>0</v>
      </c>
      <c r="W21" s="1">
        <v>0</v>
      </c>
    </row>
    <row r="22" spans="1:23" x14ac:dyDescent="0.2">
      <c r="A22" s="1">
        <v>19</v>
      </c>
      <c r="B22" s="1">
        <f t="shared" si="0"/>
        <v>19.3</v>
      </c>
      <c r="C22" s="1">
        <v>25</v>
      </c>
      <c r="F22"/>
      <c r="G22"/>
      <c r="H22"/>
      <c r="I22"/>
      <c r="J22" s="6">
        <v>19</v>
      </c>
      <c r="K22">
        <v>13.3</v>
      </c>
      <c r="L22">
        <v>20</v>
      </c>
      <c r="M22" t="s">
        <v>69</v>
      </c>
      <c r="N22" t="s">
        <v>84</v>
      </c>
      <c r="O22">
        <v>0.30000001192092896</v>
      </c>
      <c r="P22">
        <v>18.800000190734863</v>
      </c>
      <c r="Q22"/>
      <c r="R22"/>
      <c r="S22"/>
      <c r="T22"/>
      <c r="V22" s="1">
        <v>0</v>
      </c>
      <c r="W22" s="1">
        <v>0</v>
      </c>
    </row>
    <row r="23" spans="1:23" x14ac:dyDescent="0.2">
      <c r="A23" s="1">
        <v>20</v>
      </c>
      <c r="B23" s="1">
        <f t="shared" si="0"/>
        <v>20.3</v>
      </c>
      <c r="C23" s="1">
        <v>50</v>
      </c>
      <c r="F23"/>
      <c r="G23"/>
      <c r="H23"/>
      <c r="I23"/>
      <c r="J23" s="6">
        <v>20</v>
      </c>
      <c r="K23">
        <v>14.3</v>
      </c>
      <c r="L23">
        <v>18</v>
      </c>
      <c r="M23" t="s">
        <v>69</v>
      </c>
      <c r="N23" t="s">
        <v>84</v>
      </c>
      <c r="O23">
        <v>1</v>
      </c>
      <c r="P23">
        <v>19</v>
      </c>
      <c r="Q23"/>
      <c r="R23"/>
      <c r="S23"/>
      <c r="T23"/>
      <c r="V23" s="1">
        <v>0</v>
      </c>
      <c r="W23" s="1">
        <v>0</v>
      </c>
    </row>
    <row r="24" spans="1:23" x14ac:dyDescent="0.2">
      <c r="A24" s="1">
        <v>21</v>
      </c>
      <c r="B24" s="1">
        <f t="shared" si="0"/>
        <v>21.3</v>
      </c>
      <c r="C24" s="1">
        <v>50</v>
      </c>
      <c r="F24"/>
      <c r="G24"/>
      <c r="H24"/>
      <c r="I24"/>
      <c r="J24" s="6">
        <v>21</v>
      </c>
      <c r="K24">
        <v>15.3</v>
      </c>
      <c r="L24">
        <v>22</v>
      </c>
      <c r="M24" t="s">
        <v>69</v>
      </c>
      <c r="N24" t="s">
        <v>84</v>
      </c>
      <c r="O24">
        <v>1</v>
      </c>
      <c r="P24">
        <v>20</v>
      </c>
      <c r="Q24"/>
      <c r="R24"/>
      <c r="S24"/>
      <c r="T24"/>
      <c r="V24" s="1">
        <v>0</v>
      </c>
      <c r="W24" s="1">
        <v>0</v>
      </c>
    </row>
    <row r="25" spans="1:23" x14ac:dyDescent="0.2">
      <c r="A25" s="1">
        <v>28</v>
      </c>
      <c r="F25"/>
      <c r="G25"/>
      <c r="H25"/>
      <c r="I25"/>
      <c r="J25" s="6">
        <v>22</v>
      </c>
      <c r="K25">
        <v>16.3</v>
      </c>
      <c r="L25">
        <v>24</v>
      </c>
      <c r="M25" t="s">
        <v>69</v>
      </c>
      <c r="N25" t="s">
        <v>84</v>
      </c>
      <c r="O25">
        <v>1</v>
      </c>
      <c r="P25">
        <v>23</v>
      </c>
      <c r="Q25"/>
      <c r="R25"/>
      <c r="S25"/>
      <c r="T25"/>
      <c r="W25" s="1">
        <v>4.2549996376037598</v>
      </c>
    </row>
    <row r="26" spans="1:23" x14ac:dyDescent="0.2">
      <c r="F26"/>
      <c r="G26"/>
      <c r="H26"/>
      <c r="I26"/>
      <c r="J26" s="6">
        <v>23</v>
      </c>
      <c r="K26">
        <v>17.3</v>
      </c>
      <c r="L26">
        <v>20</v>
      </c>
      <c r="M26" t="s">
        <v>69</v>
      </c>
      <c r="N26" t="s">
        <v>84</v>
      </c>
      <c r="O26">
        <v>1</v>
      </c>
      <c r="P26">
        <v>22</v>
      </c>
      <c r="Q26"/>
      <c r="R26"/>
      <c r="S26"/>
      <c r="T26"/>
      <c r="W26" s="1">
        <v>2.182051420211792</v>
      </c>
    </row>
    <row r="27" spans="1:23" x14ac:dyDescent="0.2">
      <c r="F27"/>
      <c r="G27"/>
      <c r="H27"/>
      <c r="I27"/>
      <c r="J27" s="6">
        <v>24</v>
      </c>
      <c r="K27">
        <v>18.3</v>
      </c>
      <c r="L27">
        <v>25</v>
      </c>
      <c r="M27" t="s">
        <v>69</v>
      </c>
      <c r="N27" t="s">
        <v>84</v>
      </c>
      <c r="O27">
        <v>1</v>
      </c>
      <c r="P27">
        <v>22.5</v>
      </c>
      <c r="Q27"/>
      <c r="R27"/>
      <c r="S27"/>
      <c r="T27"/>
      <c r="W27" s="1">
        <v>27.275642395019531</v>
      </c>
    </row>
    <row r="28" spans="1:23" x14ac:dyDescent="0.2">
      <c r="F28"/>
      <c r="G28"/>
      <c r="H28"/>
      <c r="I28"/>
      <c r="J28" s="6">
        <v>25</v>
      </c>
      <c r="K28">
        <v>18.399999999999999</v>
      </c>
      <c r="L28">
        <v>25</v>
      </c>
      <c r="M28" t="s">
        <v>69</v>
      </c>
      <c r="N28" t="s">
        <v>84</v>
      </c>
      <c r="O28">
        <v>0.10000000149011612</v>
      </c>
      <c r="P28">
        <v>25</v>
      </c>
      <c r="Q28"/>
      <c r="R28"/>
      <c r="S28"/>
      <c r="T28"/>
      <c r="W28" s="1">
        <v>13.637821197509766</v>
      </c>
    </row>
    <row r="29" spans="1:23" x14ac:dyDescent="0.2">
      <c r="F29"/>
      <c r="G29"/>
      <c r="H29"/>
      <c r="I29"/>
      <c r="J29" s="6">
        <v>26</v>
      </c>
      <c r="K29">
        <v>19.3</v>
      </c>
      <c r="L29">
        <v>25</v>
      </c>
      <c r="M29" t="s">
        <v>69</v>
      </c>
      <c r="N29" t="s">
        <v>84</v>
      </c>
      <c r="O29">
        <v>0.89999997615814209</v>
      </c>
      <c r="P29">
        <v>25</v>
      </c>
      <c r="Q29"/>
      <c r="R29"/>
      <c r="S29"/>
      <c r="T29"/>
    </row>
    <row r="30" spans="1:23" x14ac:dyDescent="0.2">
      <c r="A30" s="1">
        <v>2</v>
      </c>
      <c r="F30"/>
      <c r="G30"/>
      <c r="H30"/>
      <c r="I30"/>
      <c r="J30" s="6">
        <v>27</v>
      </c>
      <c r="K30">
        <v>20.3</v>
      </c>
      <c r="L30">
        <v>50</v>
      </c>
      <c r="M30" t="s">
        <v>69</v>
      </c>
      <c r="N30" t="s">
        <v>84</v>
      </c>
      <c r="O30">
        <v>1</v>
      </c>
      <c r="P30">
        <v>37.5</v>
      </c>
      <c r="Q30"/>
      <c r="R30"/>
      <c r="S30"/>
      <c r="T30"/>
    </row>
    <row r="31" spans="1:23" x14ac:dyDescent="0.2">
      <c r="A31" s="1">
        <v>25</v>
      </c>
      <c r="F31"/>
      <c r="G31"/>
      <c r="H31"/>
      <c r="I31"/>
      <c r="J31" s="6">
        <v>28</v>
      </c>
      <c r="K31">
        <v>21.3</v>
      </c>
      <c r="L31">
        <v>50</v>
      </c>
      <c r="M31" t="s">
        <v>69</v>
      </c>
      <c r="N31" t="s">
        <v>84</v>
      </c>
      <c r="O31">
        <v>1</v>
      </c>
      <c r="P31">
        <v>50</v>
      </c>
      <c r="Q31"/>
      <c r="R31"/>
      <c r="S31"/>
      <c r="T31"/>
    </row>
    <row r="32" spans="1:23" x14ac:dyDescent="0.2">
      <c r="F32"/>
      <c r="G32"/>
      <c r="H32"/>
      <c r="I32"/>
      <c r="J32"/>
      <c r="K32"/>
      <c r="L32">
        <v>0</v>
      </c>
      <c r="M32"/>
      <c r="N32"/>
      <c r="O32">
        <v>0</v>
      </c>
      <c r="P32"/>
      <c r="Q32"/>
      <c r="R32"/>
      <c r="S32"/>
      <c r="T32"/>
    </row>
    <row r="33" spans="6:20" x14ac:dyDescent="0.2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2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2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2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2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2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2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2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2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2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2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2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2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2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2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2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2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2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2">
      <c r="K51"/>
      <c r="L51"/>
      <c r="M51"/>
      <c r="N51"/>
      <c r="O51"/>
      <c r="P51"/>
      <c r="Q51"/>
      <c r="R51"/>
      <c r="S51"/>
      <c r="T51"/>
    </row>
    <row r="52" spans="6:20" x14ac:dyDescent="0.2">
      <c r="K52"/>
      <c r="L52"/>
      <c r="M52"/>
      <c r="N52"/>
      <c r="O52"/>
      <c r="P52"/>
      <c r="Q52"/>
      <c r="R52"/>
      <c r="S52"/>
      <c r="T52"/>
    </row>
    <row r="53" spans="6:20" x14ac:dyDescent="0.2">
      <c r="K53"/>
      <c r="L53"/>
      <c r="M53"/>
      <c r="N53"/>
      <c r="O53"/>
      <c r="P53"/>
      <c r="Q53"/>
      <c r="R53"/>
      <c r="S53"/>
      <c r="T53"/>
    </row>
    <row r="54" spans="6:20" x14ac:dyDescent="0.2">
      <c r="K54"/>
      <c r="L54"/>
      <c r="M54"/>
      <c r="N54"/>
      <c r="O54"/>
      <c r="P54"/>
      <c r="Q54"/>
      <c r="R54"/>
      <c r="S54"/>
      <c r="T54"/>
    </row>
    <row r="55" spans="6:20" x14ac:dyDescent="0.2">
      <c r="K55"/>
      <c r="L55"/>
      <c r="M55"/>
      <c r="N55"/>
      <c r="O55"/>
      <c r="P55"/>
      <c r="Q55"/>
      <c r="R55"/>
      <c r="S55"/>
      <c r="T55"/>
    </row>
    <row r="56" spans="6:20" x14ac:dyDescent="0.2">
      <c r="K56"/>
      <c r="L56"/>
      <c r="M56"/>
      <c r="N56"/>
      <c r="O56"/>
      <c r="P56"/>
      <c r="Q56"/>
      <c r="R56"/>
      <c r="S56"/>
      <c r="T56"/>
    </row>
    <row r="57" spans="6:20" x14ac:dyDescent="0.2">
      <c r="K57"/>
      <c r="L57"/>
      <c r="M57"/>
      <c r="N57"/>
      <c r="O57"/>
      <c r="P57"/>
      <c r="Q57"/>
      <c r="R57"/>
      <c r="S57"/>
      <c r="T57"/>
    </row>
    <row r="58" spans="6:20" x14ac:dyDescent="0.2">
      <c r="K58"/>
      <c r="L58"/>
      <c r="M58"/>
      <c r="N58"/>
      <c r="O58"/>
      <c r="P58"/>
      <c r="Q58"/>
      <c r="R58"/>
      <c r="S58"/>
      <c r="T58"/>
    </row>
    <row r="59" spans="6:20" x14ac:dyDescent="0.2">
      <c r="K59"/>
      <c r="L59"/>
      <c r="M59"/>
      <c r="N59"/>
      <c r="O59"/>
      <c r="P59"/>
      <c r="Q59"/>
      <c r="R59"/>
      <c r="S59"/>
      <c r="T59"/>
    </row>
    <row r="60" spans="6:20" x14ac:dyDescent="0.2">
      <c r="K60"/>
      <c r="L60"/>
      <c r="M60"/>
      <c r="N60"/>
      <c r="O60"/>
      <c r="P60"/>
      <c r="Q60"/>
      <c r="R60"/>
      <c r="S60"/>
      <c r="T60"/>
    </row>
    <row r="61" spans="6:20" x14ac:dyDescent="0.2">
      <c r="K61"/>
      <c r="L61"/>
      <c r="M61"/>
      <c r="N61"/>
      <c r="O61"/>
      <c r="P61"/>
      <c r="Q61"/>
      <c r="R61"/>
      <c r="S61"/>
      <c r="T61"/>
    </row>
    <row r="62" spans="6:20" x14ac:dyDescent="0.2">
      <c r="K62"/>
      <c r="L62"/>
      <c r="M62"/>
      <c r="N62"/>
      <c r="O62"/>
      <c r="P62"/>
      <c r="Q62"/>
      <c r="R62"/>
      <c r="S62"/>
      <c r="T62"/>
    </row>
    <row r="63" spans="6:20" x14ac:dyDescent="0.2">
      <c r="K63"/>
      <c r="L63"/>
      <c r="M63"/>
      <c r="N63"/>
      <c r="O63"/>
      <c r="P63"/>
      <c r="Q63"/>
      <c r="R63"/>
      <c r="S63"/>
      <c r="T63"/>
    </row>
    <row r="64" spans="6:20" x14ac:dyDescent="0.2">
      <c r="K64"/>
      <c r="L64"/>
      <c r="M64"/>
      <c r="N64"/>
      <c r="O64"/>
      <c r="P64"/>
      <c r="Q64"/>
      <c r="R64"/>
      <c r="S64"/>
      <c r="T64"/>
    </row>
    <row r="65" spans="11:20" x14ac:dyDescent="0.2">
      <c r="K65"/>
      <c r="L65"/>
      <c r="M65"/>
      <c r="N65"/>
      <c r="O65"/>
      <c r="P65"/>
      <c r="Q65"/>
      <c r="R65"/>
      <c r="S65"/>
      <c r="T65"/>
    </row>
    <row r="66" spans="11:20" x14ac:dyDescent="0.2">
      <c r="K66"/>
      <c r="L66"/>
      <c r="M66"/>
      <c r="N66"/>
      <c r="O66"/>
      <c r="P66"/>
      <c r="Q66"/>
      <c r="R66"/>
      <c r="S66"/>
      <c r="T66"/>
    </row>
    <row r="67" spans="11:20" x14ac:dyDescent="0.2">
      <c r="K67"/>
      <c r="L67"/>
      <c r="M67"/>
      <c r="N67"/>
      <c r="O67"/>
      <c r="P67"/>
      <c r="Q67"/>
      <c r="R67"/>
      <c r="S67"/>
      <c r="T67"/>
    </row>
    <row r="68" spans="11:20" x14ac:dyDescent="0.2">
      <c r="K68"/>
      <c r="L68"/>
      <c r="M68"/>
      <c r="N68"/>
      <c r="O68"/>
      <c r="P68"/>
      <c r="Q68"/>
      <c r="R68"/>
      <c r="S68"/>
      <c r="T68"/>
    </row>
    <row r="69" spans="11:20" x14ac:dyDescent="0.2">
      <c r="K69"/>
      <c r="L69"/>
      <c r="M69"/>
      <c r="N69"/>
      <c r="O69"/>
      <c r="P69"/>
      <c r="Q69"/>
      <c r="R69"/>
      <c r="S69"/>
      <c r="T69"/>
    </row>
    <row r="70" spans="11:20" x14ac:dyDescent="0.2">
      <c r="K70"/>
      <c r="L70"/>
      <c r="M70"/>
      <c r="N70"/>
      <c r="O70"/>
      <c r="P70"/>
      <c r="Q70"/>
      <c r="R70"/>
      <c r="S70"/>
      <c r="T70"/>
    </row>
    <row r="71" spans="11:20" x14ac:dyDescent="0.2">
      <c r="K71"/>
      <c r="L71"/>
      <c r="M71"/>
      <c r="N71"/>
      <c r="O71"/>
      <c r="P71"/>
      <c r="Q71"/>
      <c r="R71"/>
      <c r="S71"/>
      <c r="T71"/>
    </row>
    <row r="72" spans="11:20" x14ac:dyDescent="0.2">
      <c r="K72"/>
      <c r="L72"/>
      <c r="M72"/>
      <c r="N72"/>
      <c r="O72"/>
      <c r="P72"/>
      <c r="Q72"/>
      <c r="R72"/>
      <c r="S72"/>
      <c r="T72"/>
    </row>
    <row r="73" spans="11:20" x14ac:dyDescent="0.2">
      <c r="K73"/>
      <c r="L73"/>
      <c r="M73"/>
      <c r="N73"/>
      <c r="O73"/>
      <c r="P73"/>
      <c r="Q73"/>
      <c r="R73"/>
      <c r="S73"/>
      <c r="T73"/>
    </row>
    <row r="74" spans="11:20" x14ac:dyDescent="0.2">
      <c r="K74"/>
      <c r="L74"/>
      <c r="M74"/>
      <c r="N74"/>
      <c r="O74"/>
      <c r="P74"/>
      <c r="Q74"/>
      <c r="R74"/>
      <c r="S74"/>
      <c r="T74"/>
    </row>
    <row r="75" spans="11:20" x14ac:dyDescent="0.2">
      <c r="K75"/>
      <c r="L75"/>
      <c r="M75"/>
      <c r="N75"/>
      <c r="O75"/>
      <c r="P75"/>
      <c r="Q75"/>
      <c r="R75"/>
      <c r="S75"/>
      <c r="T75"/>
    </row>
    <row r="76" spans="11:20" x14ac:dyDescent="0.2">
      <c r="K76"/>
      <c r="L76"/>
      <c r="M76"/>
      <c r="N76"/>
      <c r="O76"/>
      <c r="P76"/>
      <c r="Q76"/>
      <c r="R76"/>
      <c r="S76"/>
      <c r="T76"/>
    </row>
    <row r="77" spans="11:20" x14ac:dyDescent="0.2">
      <c r="K77"/>
      <c r="L77"/>
      <c r="M77"/>
      <c r="N77"/>
      <c r="O77"/>
      <c r="P77"/>
      <c r="Q77"/>
      <c r="R77"/>
      <c r="S77"/>
      <c r="T77"/>
    </row>
    <row r="78" spans="11:20" x14ac:dyDescent="0.2">
      <c r="K78"/>
      <c r="L78"/>
      <c r="M78"/>
      <c r="N78"/>
      <c r="O78"/>
      <c r="P78"/>
      <c r="Q78"/>
      <c r="R78"/>
      <c r="S78"/>
      <c r="T78"/>
    </row>
    <row r="79" spans="11:20" x14ac:dyDescent="0.2">
      <c r="K79"/>
      <c r="L79"/>
      <c r="M79"/>
      <c r="N79"/>
      <c r="O79"/>
      <c r="P79"/>
      <c r="Q79"/>
      <c r="R79"/>
      <c r="S79"/>
      <c r="T79"/>
    </row>
    <row r="80" spans="11:20" x14ac:dyDescent="0.2">
      <c r="K80"/>
      <c r="L80"/>
      <c r="M80"/>
      <c r="N80"/>
      <c r="O80"/>
      <c r="P80"/>
      <c r="Q80"/>
      <c r="R80"/>
      <c r="S80"/>
      <c r="T80"/>
    </row>
    <row r="81" spans="11:20" x14ac:dyDescent="0.2">
      <c r="K81"/>
      <c r="L81"/>
      <c r="M81"/>
      <c r="N81"/>
      <c r="O81"/>
      <c r="P81"/>
      <c r="Q81"/>
      <c r="R81"/>
      <c r="S81"/>
      <c r="T81"/>
    </row>
    <row r="82" spans="11:20" x14ac:dyDescent="0.2">
      <c r="K82"/>
      <c r="L82"/>
      <c r="M82"/>
      <c r="N82"/>
      <c r="O82"/>
      <c r="P82"/>
      <c r="Q82"/>
      <c r="R82"/>
      <c r="S82"/>
      <c r="T82"/>
    </row>
    <row r="83" spans="11:20" x14ac:dyDescent="0.2">
      <c r="K83"/>
      <c r="L83"/>
      <c r="M83"/>
      <c r="N83"/>
      <c r="O83"/>
      <c r="P83"/>
      <c r="Q83"/>
      <c r="R83"/>
      <c r="S83"/>
      <c r="T83"/>
    </row>
    <row r="84" spans="11:20" x14ac:dyDescent="0.2">
      <c r="K84"/>
      <c r="L84"/>
      <c r="M84"/>
      <c r="N84"/>
      <c r="O84"/>
      <c r="P84"/>
      <c r="Q84"/>
      <c r="R84"/>
      <c r="S84"/>
      <c r="T84"/>
    </row>
    <row r="85" spans="11:20" x14ac:dyDescent="0.2">
      <c r="K85"/>
      <c r="L85"/>
      <c r="M85"/>
      <c r="N85"/>
      <c r="O85"/>
      <c r="P85"/>
      <c r="Q85"/>
      <c r="R85"/>
      <c r="S85"/>
      <c r="T85"/>
    </row>
    <row r="86" spans="11:20" x14ac:dyDescent="0.2">
      <c r="K86"/>
      <c r="L86"/>
      <c r="M86"/>
      <c r="N86"/>
      <c r="O86"/>
      <c r="P86"/>
      <c r="Q86"/>
      <c r="R86"/>
      <c r="S86"/>
      <c r="T86"/>
    </row>
    <row r="87" spans="11:20" x14ac:dyDescent="0.2">
      <c r="K87"/>
      <c r="L87"/>
      <c r="M87"/>
      <c r="N87"/>
      <c r="O87"/>
      <c r="P87"/>
      <c r="Q87"/>
      <c r="R87"/>
      <c r="S87"/>
      <c r="T87"/>
    </row>
    <row r="88" spans="11:20" x14ac:dyDescent="0.2">
      <c r="K88"/>
      <c r="L88"/>
      <c r="M88"/>
      <c r="N88"/>
      <c r="O88"/>
      <c r="P88"/>
      <c r="Q88"/>
      <c r="R88"/>
      <c r="S88"/>
      <c r="T88"/>
    </row>
    <row r="89" spans="11:20" x14ac:dyDescent="0.2">
      <c r="K89"/>
      <c r="L89"/>
      <c r="M89"/>
      <c r="N89"/>
      <c r="O89"/>
      <c r="P89"/>
      <c r="Q89"/>
      <c r="R89"/>
      <c r="S89"/>
      <c r="T89"/>
    </row>
    <row r="90" spans="11:20" x14ac:dyDescent="0.2">
      <c r="K90"/>
      <c r="L90"/>
      <c r="M90"/>
      <c r="N90"/>
      <c r="O90"/>
      <c r="P90"/>
      <c r="Q90"/>
      <c r="R90"/>
      <c r="S90"/>
      <c r="T90"/>
    </row>
    <row r="91" spans="11:20" x14ac:dyDescent="0.2">
      <c r="K91"/>
      <c r="L91"/>
      <c r="M91"/>
      <c r="N91"/>
      <c r="O91"/>
      <c r="P91"/>
      <c r="Q91"/>
      <c r="R91"/>
      <c r="S91"/>
      <c r="T91"/>
    </row>
    <row r="92" spans="11:20" x14ac:dyDescent="0.2">
      <c r="K92"/>
      <c r="L92"/>
      <c r="M92"/>
      <c r="N92"/>
      <c r="O92"/>
      <c r="P92"/>
      <c r="Q92"/>
      <c r="R92"/>
      <c r="S92"/>
      <c r="T92"/>
    </row>
    <row r="93" spans="11:20" x14ac:dyDescent="0.2">
      <c r="K93"/>
      <c r="L93"/>
      <c r="M93"/>
      <c r="N93"/>
      <c r="O93"/>
      <c r="P93"/>
      <c r="Q93"/>
      <c r="R93"/>
      <c r="S93"/>
      <c r="T93"/>
    </row>
    <row r="94" spans="11:20" x14ac:dyDescent="0.2">
      <c r="K94"/>
      <c r="L94"/>
      <c r="M94"/>
      <c r="N94"/>
      <c r="O94"/>
      <c r="P94"/>
      <c r="Q94"/>
      <c r="R94"/>
      <c r="S94"/>
      <c r="T94"/>
    </row>
    <row r="95" spans="11:20" x14ac:dyDescent="0.2">
      <c r="K95"/>
      <c r="L95"/>
      <c r="M95"/>
      <c r="N95"/>
      <c r="O95"/>
      <c r="P95"/>
      <c r="Q95"/>
      <c r="R95"/>
      <c r="S95"/>
      <c r="T95"/>
    </row>
    <row r="96" spans="11:20" x14ac:dyDescent="0.2">
      <c r="K96"/>
      <c r="L96"/>
      <c r="M96"/>
      <c r="N96"/>
      <c r="O96"/>
      <c r="P96"/>
      <c r="Q96"/>
      <c r="R96"/>
      <c r="S96"/>
      <c r="T96"/>
    </row>
    <row r="97" spans="11:20" x14ac:dyDescent="0.2">
      <c r="K97"/>
      <c r="L97"/>
      <c r="M97"/>
      <c r="N97"/>
      <c r="O97"/>
      <c r="P97"/>
      <c r="Q97"/>
      <c r="R97"/>
      <c r="S97"/>
      <c r="T97"/>
    </row>
    <row r="98" spans="11:20" x14ac:dyDescent="0.2">
      <c r="K98"/>
      <c r="L98"/>
      <c r="M98"/>
      <c r="N98"/>
      <c r="O98"/>
      <c r="P98"/>
      <c r="Q98"/>
      <c r="R98"/>
      <c r="S98"/>
      <c r="T98"/>
    </row>
    <row r="99" spans="11:20" x14ac:dyDescent="0.2">
      <c r="K99"/>
      <c r="L99"/>
      <c r="M99"/>
      <c r="N99"/>
      <c r="O99"/>
      <c r="P99"/>
      <c r="Q99"/>
      <c r="R99"/>
      <c r="S99"/>
      <c r="T99"/>
    </row>
    <row r="100" spans="11:20" x14ac:dyDescent="0.2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A12" sqref="A12:B16"/>
    </sheetView>
  </sheetViews>
  <sheetFormatPr defaultColWidth="9" defaultRowHeight="13.2" x14ac:dyDescent="0.2"/>
  <cols>
    <col min="1" max="1" width="22.109375" style="1" customWidth="1"/>
    <col min="2" max="3" width="6.6640625" style="1" customWidth="1"/>
    <col min="4" max="4" width="15.21875" style="1" customWidth="1"/>
    <col min="5" max="10" width="6.6640625" style="1" customWidth="1"/>
    <col min="11" max="11" width="8.6640625" style="1" customWidth="1"/>
    <col min="12" max="12" width="7.21875" style="1" customWidth="1"/>
    <col min="13" max="13" width="10" style="1" bestFit="1" customWidth="1"/>
    <col min="14" max="14" width="15.33203125" style="1" customWidth="1"/>
    <col min="15" max="15" width="9" style="1"/>
    <col min="16" max="16" width="7.21875" style="1" customWidth="1"/>
    <col min="17" max="17" width="12.33203125" style="1" customWidth="1"/>
    <col min="18" max="18" width="9.88671875" style="1" customWidth="1"/>
    <col min="19" max="16384" width="9" style="1"/>
  </cols>
  <sheetData>
    <row r="1" spans="1:25" x14ac:dyDescent="0.2">
      <c r="G1" s="1">
        <v>21</v>
      </c>
      <c r="P1" s="1">
        <v>26</v>
      </c>
    </row>
    <row r="2" spans="1:25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2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2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2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2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2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2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2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2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2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2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2">
      <c r="A13" s="8" t="s">
        <v>40</v>
      </c>
      <c r="B13" s="1">
        <v>12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2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2">
      <c r="A15" s="2" t="s">
        <v>74</v>
      </c>
      <c r="B15" s="1">
        <f>B12*B13*B14</f>
        <v>706.85834705770344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2">
      <c r="B16" s="1">
        <f>B15/3</f>
        <v>235.61944901923448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2">
      <c r="A17" s="2"/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2">
      <c r="A18" s="2" t="s">
        <v>43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2">
      <c r="A19" s="2" t="s">
        <v>44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2">
      <c r="A20" s="2" t="s">
        <v>45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2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46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2">
      <c r="A22" s="2" t="s">
        <v>47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46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2">
      <c r="A23" s="2" t="s">
        <v>48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46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2">
      <c r="A24" s="2" t="s">
        <v>49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46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2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2">
      <c r="A26" s="2" t="s">
        <v>50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2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51</v>
      </c>
      <c r="T27" s="2"/>
      <c r="U27" s="1">
        <v>489.7000732421875</v>
      </c>
      <c r="V27" s="1" t="s">
        <v>52</v>
      </c>
      <c r="X27" s="1">
        <v>27.275642395019531</v>
      </c>
    </row>
    <row r="28" spans="1:24" x14ac:dyDescent="0.2">
      <c r="A28" s="2" t="s">
        <v>53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54</v>
      </c>
      <c r="X28" s="1">
        <v>13.637821197509766</v>
      </c>
    </row>
    <row r="29" spans="1:24" x14ac:dyDescent="0.2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2">
      <c r="A30" s="2" t="s">
        <v>55</v>
      </c>
      <c r="B30" s="1">
        <f>B28+B15</f>
        <v>1247.5199601749746</v>
      </c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BF9A-1252-497B-BD1E-54AC67C6A707}">
  <sheetPr codeName="Sheet12"/>
  <dimension ref="A1:T100"/>
  <sheetViews>
    <sheetView zoomScale="115" zoomScaleNormal="115" workbookViewId="0">
      <selection activeCell="K8" sqref="K8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6384" width="9" style="9"/>
  </cols>
  <sheetData>
    <row r="1" spans="1:20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3">
      <c r="B2" s="9" t="s">
        <v>2</v>
      </c>
      <c r="C2" s="9" t="s">
        <v>3</v>
      </c>
      <c r="E2" s="12" t="s">
        <v>56</v>
      </c>
      <c r="J2" s="11" t="s">
        <v>70</v>
      </c>
      <c r="K2" s="12">
        <v>0</v>
      </c>
    </row>
    <row r="3" spans="1:20" s="10" customFormat="1" ht="15.75" customHeight="1" x14ac:dyDescent="0.3">
      <c r="F3" s="12" t="s">
        <v>0</v>
      </c>
      <c r="G3" s="10">
        <v>1000</v>
      </c>
      <c r="J3" s="11" t="s">
        <v>72</v>
      </c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3">
      <c r="B4" s="9">
        <v>1.3</v>
      </c>
      <c r="C4" s="9">
        <v>4</v>
      </c>
      <c r="F4" s="9" t="s">
        <v>7</v>
      </c>
      <c r="G4" s="9">
        <v>1.3</v>
      </c>
      <c r="J4" s="11" t="s">
        <v>71</v>
      </c>
      <c r="K4"/>
      <c r="L4"/>
      <c r="M4"/>
      <c r="N4"/>
      <c r="O4">
        <v>2.2999999999999998</v>
      </c>
      <c r="P4">
        <v>4</v>
      </c>
      <c r="Q4"/>
      <c r="R4"/>
      <c r="S4"/>
      <c r="T4"/>
    </row>
    <row r="5" spans="1:20" x14ac:dyDescent="0.3">
      <c r="B5" s="9">
        <v>2.2999999999999998</v>
      </c>
      <c r="C5" s="9">
        <v>4</v>
      </c>
      <c r="F5" s="9" t="s">
        <v>1</v>
      </c>
      <c r="G5" s="9">
        <v>11</v>
      </c>
      <c r="J5" s="11" t="s">
        <v>73</v>
      </c>
      <c r="K5"/>
      <c r="L5"/>
      <c r="M5"/>
      <c r="N5"/>
      <c r="O5">
        <v>3.3</v>
      </c>
      <c r="P5">
        <v>3</v>
      </c>
      <c r="Q5"/>
      <c r="R5"/>
      <c r="S5"/>
      <c r="T5"/>
    </row>
    <row r="6" spans="1:20" x14ac:dyDescent="0.3">
      <c r="B6" s="9">
        <v>3.3</v>
      </c>
      <c r="C6" s="9">
        <v>3</v>
      </c>
      <c r="F6" s="9" t="s">
        <v>5</v>
      </c>
      <c r="G6" s="9">
        <f>G7-G3/1000*H6</f>
        <v>11.3</v>
      </c>
      <c r="H6" s="9">
        <v>1</v>
      </c>
      <c r="I6" s="9" t="s">
        <v>75</v>
      </c>
      <c r="J6" s="9">
        <v>75</v>
      </c>
      <c r="K6"/>
      <c r="L6"/>
      <c r="M6"/>
      <c r="N6"/>
      <c r="O6">
        <v>4.3</v>
      </c>
      <c r="P6">
        <v>13</v>
      </c>
      <c r="Q6"/>
      <c r="R6"/>
      <c r="S6"/>
      <c r="T6"/>
    </row>
    <row r="7" spans="1:20" x14ac:dyDescent="0.3">
      <c r="B7" s="9">
        <v>4.3</v>
      </c>
      <c r="C7" s="9">
        <v>13</v>
      </c>
      <c r="F7" s="9" t="s">
        <v>4</v>
      </c>
      <c r="G7" s="9">
        <f>G4+G5</f>
        <v>12.3</v>
      </c>
      <c r="I7" s="9" t="s">
        <v>76</v>
      </c>
      <c r="J7" s="9">
        <f>(G3/1000)^2*PI()/4</f>
        <v>0.78539816339744828</v>
      </c>
      <c r="K7"/>
      <c r="L7"/>
      <c r="M7"/>
      <c r="N7"/>
      <c r="O7">
        <v>5.3</v>
      </c>
      <c r="P7">
        <v>5</v>
      </c>
      <c r="Q7"/>
      <c r="R7"/>
      <c r="S7"/>
      <c r="T7"/>
    </row>
    <row r="8" spans="1:20" x14ac:dyDescent="0.3">
      <c r="B8" s="9">
        <v>5.3</v>
      </c>
      <c r="C8" s="9">
        <v>5</v>
      </c>
      <c r="F8" s="9" t="s">
        <v>6</v>
      </c>
      <c r="G8" s="9">
        <f>G7+G3/1000*H8</f>
        <v>13.3</v>
      </c>
      <c r="H8" s="9">
        <v>1</v>
      </c>
      <c r="I8" s="9" t="s">
        <v>77</v>
      </c>
      <c r="J8" s="9">
        <v>175</v>
      </c>
      <c r="K8"/>
      <c r="L8"/>
      <c r="M8"/>
      <c r="N8"/>
      <c r="O8">
        <v>6.3</v>
      </c>
      <c r="P8">
        <v>6</v>
      </c>
      <c r="Q8"/>
      <c r="R8"/>
      <c r="S8"/>
      <c r="T8"/>
    </row>
    <row r="9" spans="1:20" x14ac:dyDescent="0.3">
      <c r="B9" s="9">
        <v>6.3</v>
      </c>
      <c r="C9" s="9">
        <v>6</v>
      </c>
      <c r="J9" s="9">
        <f>1/3*J6*J7*J8</f>
        <v>3436.1169648638365</v>
      </c>
      <c r="K9"/>
      <c r="L9"/>
      <c r="M9"/>
      <c r="N9"/>
      <c r="O9">
        <v>7.3</v>
      </c>
      <c r="P9">
        <v>7</v>
      </c>
      <c r="Q9"/>
      <c r="R9"/>
      <c r="S9"/>
      <c r="T9"/>
    </row>
    <row r="10" spans="1:20" x14ac:dyDescent="0.3">
      <c r="B10" s="9">
        <v>7.3</v>
      </c>
      <c r="C10" s="9">
        <v>7</v>
      </c>
      <c r="F10" s="10" t="s">
        <v>57</v>
      </c>
      <c r="G10" s="10" t="s">
        <v>3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7</v>
      </c>
      <c r="Q10"/>
      <c r="R10"/>
      <c r="S10"/>
      <c r="T10"/>
    </row>
    <row r="11" spans="1:20" x14ac:dyDescent="0.3">
      <c r="B11" s="9">
        <v>8.3000000000000007</v>
      </c>
      <c r="C11" s="9">
        <v>7</v>
      </c>
      <c r="F11" s="9">
        <v>11.3</v>
      </c>
      <c r="G11" s="9">
        <v>8</v>
      </c>
      <c r="K11"/>
      <c r="L11"/>
      <c r="M11"/>
      <c r="N11"/>
      <c r="O11">
        <v>9.3000000000000007</v>
      </c>
      <c r="P11">
        <v>5</v>
      </c>
      <c r="Q11"/>
      <c r="R11"/>
      <c r="S11"/>
      <c r="T11"/>
    </row>
    <row r="12" spans="1:20" x14ac:dyDescent="0.3">
      <c r="B12" s="9">
        <v>9.3000000000000007</v>
      </c>
      <c r="C12" s="9">
        <v>5</v>
      </c>
      <c r="H12" s="9">
        <v>1</v>
      </c>
      <c r="I12" s="9">
        <v>11.5</v>
      </c>
      <c r="J12" s="9">
        <v>11.5</v>
      </c>
      <c r="K12"/>
      <c r="L12"/>
      <c r="M12"/>
      <c r="N12"/>
      <c r="O12">
        <v>10.3</v>
      </c>
      <c r="P12">
        <v>6</v>
      </c>
      <c r="Q12"/>
      <c r="R12"/>
      <c r="S12"/>
      <c r="T12"/>
    </row>
    <row r="13" spans="1:20" x14ac:dyDescent="0.3">
      <c r="B13" s="9">
        <v>10.3</v>
      </c>
      <c r="C13" s="9">
        <v>6</v>
      </c>
      <c r="F13" s="9">
        <v>12.3</v>
      </c>
      <c r="G13" s="9">
        <v>15</v>
      </c>
      <c r="K13"/>
      <c r="L13"/>
      <c r="M13"/>
      <c r="N13"/>
      <c r="O13">
        <v>11.3</v>
      </c>
      <c r="P13">
        <v>8</v>
      </c>
      <c r="Q13"/>
      <c r="R13"/>
      <c r="S13"/>
      <c r="T13"/>
    </row>
    <row r="14" spans="1:20" x14ac:dyDescent="0.3">
      <c r="B14" s="9">
        <v>11.3</v>
      </c>
      <c r="C14" s="9">
        <v>8</v>
      </c>
      <c r="H14" s="9">
        <v>1</v>
      </c>
      <c r="I14" s="9">
        <v>23.5</v>
      </c>
      <c r="J14" s="9">
        <v>23.5</v>
      </c>
      <c r="K14"/>
      <c r="L14"/>
      <c r="M14"/>
      <c r="N14"/>
      <c r="O14">
        <v>12.3</v>
      </c>
      <c r="P14">
        <v>15</v>
      </c>
      <c r="Q14">
        <v>1</v>
      </c>
      <c r="R14">
        <v>11.5</v>
      </c>
      <c r="S14">
        <v>11.5</v>
      </c>
      <c r="T14"/>
    </row>
    <row r="15" spans="1:20" x14ac:dyDescent="0.3">
      <c r="B15" s="9">
        <v>12.3</v>
      </c>
      <c r="C15" s="9">
        <v>15</v>
      </c>
      <c r="F15" s="9">
        <v>13.3</v>
      </c>
      <c r="G15" s="9">
        <v>32</v>
      </c>
      <c r="K15"/>
      <c r="L15"/>
      <c r="M15"/>
      <c r="N15"/>
      <c r="O15">
        <v>13.3</v>
      </c>
      <c r="P15">
        <v>32</v>
      </c>
      <c r="Q15">
        <v>1</v>
      </c>
      <c r="R15">
        <v>23.5</v>
      </c>
      <c r="S15">
        <v>23.5</v>
      </c>
      <c r="T15"/>
    </row>
    <row r="16" spans="1:20" x14ac:dyDescent="0.3">
      <c r="B16" s="9">
        <v>13.3</v>
      </c>
      <c r="C16" s="9">
        <v>32</v>
      </c>
      <c r="G16" s="11" t="s">
        <v>61</v>
      </c>
      <c r="H16" s="9">
        <v>2</v>
      </c>
      <c r="I16" s="11" t="s">
        <v>63</v>
      </c>
      <c r="J16" s="9">
        <v>35</v>
      </c>
      <c r="K16"/>
      <c r="L16"/>
      <c r="M16"/>
      <c r="N16"/>
      <c r="O16">
        <v>14.3</v>
      </c>
      <c r="P16">
        <v>49</v>
      </c>
      <c r="Q16">
        <v>2</v>
      </c>
      <c r="R16"/>
      <c r="S16">
        <v>35</v>
      </c>
      <c r="T16"/>
    </row>
    <row r="17" spans="2:20" x14ac:dyDescent="0.3">
      <c r="B17" s="9">
        <v>14.3</v>
      </c>
      <c r="C17" s="9">
        <v>49</v>
      </c>
      <c r="I17" s="11" t="s">
        <v>64</v>
      </c>
      <c r="J17" s="9">
        <v>17.5</v>
      </c>
      <c r="K17"/>
      <c r="L17"/>
      <c r="M17"/>
      <c r="N17"/>
      <c r="O17">
        <v>15.3</v>
      </c>
      <c r="P17">
        <v>100</v>
      </c>
      <c r="Q17"/>
      <c r="R17"/>
      <c r="S17"/>
      <c r="T17"/>
    </row>
    <row r="18" spans="2:20" x14ac:dyDescent="0.3">
      <c r="B18" s="9">
        <v>15.3</v>
      </c>
      <c r="C18" s="9">
        <v>100</v>
      </c>
      <c r="K18"/>
      <c r="L18"/>
      <c r="M18"/>
      <c r="N18"/>
      <c r="O18">
        <v>16</v>
      </c>
      <c r="P18">
        <v>100</v>
      </c>
      <c r="Q18"/>
      <c r="R18"/>
      <c r="S18"/>
      <c r="T18"/>
    </row>
    <row r="19" spans="2:20" x14ac:dyDescent="0.3">
      <c r="B19" s="9">
        <v>16</v>
      </c>
      <c r="C19" s="9">
        <v>100</v>
      </c>
      <c r="K19"/>
      <c r="L19"/>
      <c r="M19"/>
      <c r="N19"/>
      <c r="O19"/>
      <c r="P19"/>
      <c r="Q19"/>
      <c r="R19"/>
      <c r="S19"/>
      <c r="T19"/>
    </row>
    <row r="20" spans="2:20" x14ac:dyDescent="0.3">
      <c r="K20"/>
      <c r="L20"/>
      <c r="M20"/>
      <c r="N20"/>
      <c r="O20"/>
      <c r="P20"/>
      <c r="Q20"/>
      <c r="R20"/>
      <c r="S20"/>
      <c r="T20"/>
    </row>
    <row r="21" spans="2:20" x14ac:dyDescent="0.3">
      <c r="K21"/>
      <c r="L21"/>
      <c r="M21"/>
      <c r="N21"/>
      <c r="O21"/>
      <c r="P21"/>
      <c r="Q21"/>
      <c r="R21"/>
      <c r="S21"/>
      <c r="T21"/>
    </row>
    <row r="22" spans="2:20" x14ac:dyDescent="0.3">
      <c r="K22"/>
      <c r="L22"/>
      <c r="M22"/>
      <c r="N22"/>
      <c r="O22"/>
      <c r="P22"/>
      <c r="Q22"/>
      <c r="R22"/>
      <c r="S22"/>
      <c r="T22"/>
    </row>
    <row r="23" spans="2:20" x14ac:dyDescent="0.3">
      <c r="E23" s="11"/>
      <c r="K23"/>
      <c r="L23"/>
      <c r="M23"/>
      <c r="N23"/>
      <c r="O23"/>
      <c r="P23"/>
      <c r="Q23"/>
      <c r="R23"/>
      <c r="S23"/>
      <c r="T23"/>
    </row>
    <row r="24" spans="2:20" x14ac:dyDescent="0.3">
      <c r="K24"/>
      <c r="L24"/>
      <c r="M24"/>
      <c r="N24"/>
      <c r="O24"/>
      <c r="P24"/>
      <c r="Q24"/>
      <c r="R24"/>
      <c r="S24"/>
      <c r="T24"/>
    </row>
    <row r="25" spans="2:20" x14ac:dyDescent="0.3">
      <c r="K25"/>
      <c r="L25"/>
      <c r="M25"/>
      <c r="N25"/>
      <c r="O25"/>
      <c r="P25"/>
      <c r="Q25"/>
      <c r="R25"/>
      <c r="S25"/>
      <c r="T25"/>
    </row>
    <row r="26" spans="2:20" x14ac:dyDescent="0.3">
      <c r="K26"/>
      <c r="L26"/>
      <c r="M26"/>
      <c r="N26"/>
      <c r="O26"/>
      <c r="P26"/>
      <c r="Q26"/>
      <c r="R26"/>
      <c r="S26"/>
      <c r="T26"/>
    </row>
    <row r="27" spans="2:20" x14ac:dyDescent="0.3">
      <c r="K27"/>
      <c r="L27"/>
      <c r="M27"/>
      <c r="N27"/>
      <c r="O27"/>
      <c r="P27"/>
      <c r="Q27"/>
      <c r="R27"/>
      <c r="S27"/>
      <c r="T27"/>
    </row>
    <row r="28" spans="2:20" x14ac:dyDescent="0.3">
      <c r="K28"/>
      <c r="L28"/>
      <c r="M28"/>
      <c r="N28"/>
      <c r="O28"/>
      <c r="P28"/>
      <c r="Q28"/>
      <c r="R28"/>
      <c r="S28"/>
      <c r="T28"/>
    </row>
    <row r="29" spans="2:20" x14ac:dyDescent="0.3">
      <c r="K29"/>
      <c r="L29"/>
      <c r="M29"/>
      <c r="N29"/>
      <c r="O29"/>
      <c r="P29"/>
      <c r="Q29"/>
      <c r="R29"/>
      <c r="S29"/>
      <c r="T29"/>
    </row>
    <row r="30" spans="2:20" x14ac:dyDescent="0.3">
      <c r="K30"/>
      <c r="L30"/>
      <c r="M30"/>
      <c r="N30"/>
      <c r="O30"/>
      <c r="P30"/>
      <c r="Q30"/>
      <c r="R30"/>
      <c r="S30"/>
      <c r="T30"/>
    </row>
    <row r="31" spans="2:20" x14ac:dyDescent="0.3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3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3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2FF0-783A-4ACE-B19D-386082B35DB3}">
  <sheetPr codeName="Sheet1"/>
  <dimension ref="C3:D13"/>
  <sheetViews>
    <sheetView workbookViewId="0">
      <selection activeCell="D12" sqref="D12"/>
    </sheetView>
  </sheetViews>
  <sheetFormatPr defaultRowHeight="15" x14ac:dyDescent="0.3"/>
  <cols>
    <col min="1" max="16384" width="8.88671875" style="9"/>
  </cols>
  <sheetData>
    <row r="3" spans="3:4" x14ac:dyDescent="0.3">
      <c r="C3" s="11" t="s">
        <v>70</v>
      </c>
      <c r="D3" s="12">
        <v>0</v>
      </c>
    </row>
    <row r="4" spans="3:4" x14ac:dyDescent="0.3">
      <c r="C4" s="11" t="s">
        <v>72</v>
      </c>
    </row>
    <row r="5" spans="3:4" x14ac:dyDescent="0.3">
      <c r="C5" s="11" t="s">
        <v>71</v>
      </c>
    </row>
    <row r="6" spans="3:4" x14ac:dyDescent="0.3">
      <c r="C6" s="11" t="s">
        <v>73</v>
      </c>
    </row>
    <row r="8" spans="3:4" x14ac:dyDescent="0.3">
      <c r="C8" s="11" t="s">
        <v>81</v>
      </c>
      <c r="D8" s="9">
        <v>1000</v>
      </c>
    </row>
    <row r="9" spans="3:4" x14ac:dyDescent="0.3">
      <c r="C9" s="13" t="s">
        <v>78</v>
      </c>
      <c r="D9" s="14">
        <v>75</v>
      </c>
    </row>
    <row r="10" spans="3:4" x14ac:dyDescent="0.3">
      <c r="C10" s="15" t="s">
        <v>79</v>
      </c>
      <c r="D10" s="14">
        <v>12</v>
      </c>
    </row>
    <row r="11" spans="3:4" x14ac:dyDescent="0.3">
      <c r="C11" s="13" t="s">
        <v>80</v>
      </c>
      <c r="D11" s="14">
        <f>(D8/1000)^2*PI()/4</f>
        <v>0.78539816339744828</v>
      </c>
    </row>
    <row r="12" spans="3:4" x14ac:dyDescent="0.3">
      <c r="C12" s="13" t="s">
        <v>74</v>
      </c>
      <c r="D12" s="14">
        <f>D9*D10*D11</f>
        <v>706.85834705770344</v>
      </c>
    </row>
    <row r="13" spans="3:4" x14ac:dyDescent="0.3">
      <c r="C13" s="14"/>
      <c r="D13" s="14">
        <f>D12/3</f>
        <v>235.61944901923448</v>
      </c>
    </row>
  </sheetData>
  <phoneticPr fontId="1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zoomScale="115" zoomScaleNormal="115" workbookViewId="0">
      <selection activeCell="F3" sqref="F3:G8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6384" width="9" style="9"/>
  </cols>
  <sheetData>
    <row r="1" spans="1:20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3">
      <c r="B2" s="9" t="s">
        <v>2</v>
      </c>
      <c r="C2" s="9" t="s">
        <v>3</v>
      </c>
      <c r="E2" s="12" t="s">
        <v>56</v>
      </c>
      <c r="J2" s="11"/>
      <c r="K2" s="12"/>
    </row>
    <row r="3" spans="1:20" s="10" customFormat="1" ht="15.75" customHeight="1" x14ac:dyDescent="0.3">
      <c r="F3" s="17" t="s">
        <v>0</v>
      </c>
      <c r="G3" s="18">
        <v>1000</v>
      </c>
      <c r="J3" s="11"/>
      <c r="K3"/>
      <c r="L3"/>
      <c r="M3"/>
      <c r="N3"/>
      <c r="O3">
        <v>0</v>
      </c>
      <c r="P3">
        <v>0</v>
      </c>
      <c r="Q3"/>
      <c r="R3">
        <v>-1</v>
      </c>
      <c r="S3">
        <v>1</v>
      </c>
      <c r="T3"/>
    </row>
    <row r="4" spans="1:20" x14ac:dyDescent="0.3">
      <c r="B4" s="16">
        <v>1.3</v>
      </c>
      <c r="C4" s="16">
        <v>4</v>
      </c>
      <c r="F4" s="16" t="s">
        <v>7</v>
      </c>
      <c r="G4" s="16">
        <v>1.3</v>
      </c>
      <c r="J4" s="11"/>
      <c r="K4"/>
      <c r="L4"/>
      <c r="M4"/>
      <c r="N4"/>
      <c r="O4">
        <v>1.3</v>
      </c>
      <c r="P4">
        <v>4</v>
      </c>
      <c r="Q4"/>
      <c r="R4">
        <v>-1</v>
      </c>
      <c r="S4">
        <v>1</v>
      </c>
      <c r="T4"/>
    </row>
    <row r="5" spans="1:20" x14ac:dyDescent="0.3">
      <c r="B5" s="16">
        <v>2.2999999999999998</v>
      </c>
      <c r="C5" s="16">
        <v>5</v>
      </c>
      <c r="F5" s="16" t="s">
        <v>1</v>
      </c>
      <c r="G5" s="16">
        <v>10.9</v>
      </c>
      <c r="J5" s="11"/>
      <c r="K5"/>
      <c r="L5"/>
      <c r="M5"/>
      <c r="N5"/>
      <c r="O5">
        <v>2.2999999999999998</v>
      </c>
      <c r="P5">
        <v>5</v>
      </c>
      <c r="Q5"/>
      <c r="R5">
        <v>-1</v>
      </c>
      <c r="S5">
        <v>1</v>
      </c>
      <c r="T5"/>
    </row>
    <row r="6" spans="1:20" x14ac:dyDescent="0.3">
      <c r="B6" s="16">
        <v>3.3</v>
      </c>
      <c r="C6" s="16">
        <v>2</v>
      </c>
      <c r="F6" s="9" t="s">
        <v>5</v>
      </c>
      <c r="G6" s="9">
        <f>G7-G3/1000*H6</f>
        <v>11.200000000000001</v>
      </c>
      <c r="H6" s="9">
        <v>1</v>
      </c>
      <c r="K6"/>
      <c r="L6"/>
      <c r="M6"/>
      <c r="N6"/>
      <c r="O6">
        <v>3.3</v>
      </c>
      <c r="P6">
        <v>2</v>
      </c>
      <c r="Q6"/>
      <c r="R6"/>
      <c r="S6"/>
      <c r="T6"/>
    </row>
    <row r="7" spans="1:20" x14ac:dyDescent="0.3">
      <c r="B7" s="16">
        <v>4.3</v>
      </c>
      <c r="C7" s="16">
        <v>3</v>
      </c>
      <c r="F7" s="9" t="s">
        <v>4</v>
      </c>
      <c r="G7" s="9">
        <f>G4+G5</f>
        <v>12.200000000000001</v>
      </c>
      <c r="K7"/>
      <c r="L7"/>
      <c r="M7"/>
      <c r="N7"/>
      <c r="O7">
        <v>4.3</v>
      </c>
      <c r="P7">
        <v>3</v>
      </c>
      <c r="Q7"/>
      <c r="R7"/>
      <c r="S7"/>
      <c r="T7"/>
    </row>
    <row r="8" spans="1:20" x14ac:dyDescent="0.3">
      <c r="B8" s="16">
        <v>5.3</v>
      </c>
      <c r="C8" s="16">
        <v>8</v>
      </c>
      <c r="F8" s="9" t="s">
        <v>6</v>
      </c>
      <c r="G8" s="9">
        <f>G7+G3/1000*H8</f>
        <v>13.200000000000001</v>
      </c>
      <c r="H8" s="9">
        <v>1</v>
      </c>
      <c r="K8"/>
      <c r="L8"/>
      <c r="M8"/>
      <c r="N8"/>
      <c r="O8">
        <v>5.3</v>
      </c>
      <c r="P8">
        <v>8</v>
      </c>
      <c r="Q8"/>
      <c r="R8"/>
      <c r="S8"/>
      <c r="T8"/>
    </row>
    <row r="9" spans="1:20" x14ac:dyDescent="0.3">
      <c r="B9" s="16">
        <v>6.3</v>
      </c>
      <c r="C9" s="16">
        <v>7</v>
      </c>
      <c r="K9"/>
      <c r="L9"/>
      <c r="M9"/>
      <c r="N9"/>
      <c r="O9">
        <v>6.3</v>
      </c>
      <c r="P9">
        <v>7</v>
      </c>
      <c r="Q9"/>
      <c r="R9"/>
      <c r="S9"/>
      <c r="T9"/>
    </row>
    <row r="10" spans="1:20" x14ac:dyDescent="0.3">
      <c r="B10" s="16">
        <v>7.3</v>
      </c>
      <c r="C10" s="16">
        <v>9</v>
      </c>
      <c r="F10" s="10" t="s">
        <v>57</v>
      </c>
      <c r="G10" s="10" t="s">
        <v>58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7.3</v>
      </c>
      <c r="P10">
        <v>9</v>
      </c>
      <c r="Q10"/>
      <c r="R10"/>
      <c r="S10"/>
      <c r="T10"/>
    </row>
    <row r="11" spans="1:20" x14ac:dyDescent="0.3">
      <c r="B11" s="16">
        <v>8.3000000000000007</v>
      </c>
      <c r="C11" s="16">
        <v>6</v>
      </c>
      <c r="F11"/>
      <c r="G11"/>
      <c r="H11"/>
      <c r="I11"/>
      <c r="J11"/>
      <c r="K11"/>
      <c r="L11"/>
      <c r="M11"/>
      <c r="N11"/>
      <c r="O11">
        <v>8.3000000000000007</v>
      </c>
      <c r="P11">
        <v>6</v>
      </c>
      <c r="Q11"/>
      <c r="R11"/>
      <c r="S11"/>
      <c r="T11"/>
    </row>
    <row r="12" spans="1:20" x14ac:dyDescent="0.3">
      <c r="B12" s="16">
        <v>9.3000000000000007</v>
      </c>
      <c r="C12" s="16">
        <v>6</v>
      </c>
      <c r="F12"/>
      <c r="G12"/>
      <c r="H12"/>
      <c r="I12"/>
      <c r="J12"/>
      <c r="K12"/>
      <c r="L12"/>
      <c r="M12"/>
      <c r="N12"/>
      <c r="O12">
        <v>9.3000000000000007</v>
      </c>
      <c r="P12">
        <v>6</v>
      </c>
      <c r="Q12"/>
      <c r="R12"/>
      <c r="S12"/>
      <c r="T12"/>
    </row>
    <row r="13" spans="1:20" x14ac:dyDescent="0.3">
      <c r="B13" s="16">
        <v>10.3</v>
      </c>
      <c r="C13" s="16">
        <v>7</v>
      </c>
      <c r="F13"/>
      <c r="G13"/>
      <c r="H13"/>
      <c r="I13"/>
      <c r="J13"/>
      <c r="K13"/>
      <c r="L13"/>
      <c r="M13"/>
      <c r="N13"/>
      <c r="O13">
        <v>10.3</v>
      </c>
      <c r="P13">
        <v>7</v>
      </c>
      <c r="Q13"/>
      <c r="R13"/>
      <c r="S13"/>
      <c r="T13"/>
    </row>
    <row r="14" spans="1:20" x14ac:dyDescent="0.3">
      <c r="B14" s="16">
        <v>11.3</v>
      </c>
      <c r="C14" s="16">
        <v>3</v>
      </c>
      <c r="F14"/>
      <c r="G14"/>
      <c r="H14"/>
      <c r="I14"/>
      <c r="J14"/>
      <c r="K14"/>
      <c r="L14"/>
      <c r="M14"/>
      <c r="N14"/>
      <c r="O14">
        <v>11.3</v>
      </c>
      <c r="P14">
        <v>3</v>
      </c>
      <c r="Q14"/>
      <c r="R14"/>
      <c r="S14"/>
      <c r="T14"/>
    </row>
    <row r="15" spans="1:20" x14ac:dyDescent="0.3">
      <c r="B15" s="16">
        <v>12.3</v>
      </c>
      <c r="C15" s="16">
        <v>10</v>
      </c>
      <c r="F15"/>
      <c r="G15"/>
      <c r="H15"/>
      <c r="I15"/>
      <c r="J15"/>
      <c r="K15"/>
      <c r="L15"/>
      <c r="M15"/>
      <c r="N15"/>
      <c r="O15">
        <v>12.3</v>
      </c>
      <c r="P15">
        <v>10</v>
      </c>
      <c r="Q15"/>
      <c r="R15"/>
      <c r="S15"/>
      <c r="T15"/>
    </row>
    <row r="16" spans="1:20" x14ac:dyDescent="0.3">
      <c r="B16" s="16">
        <v>13.3</v>
      </c>
      <c r="C16" s="16">
        <v>19</v>
      </c>
      <c r="F16"/>
      <c r="G16"/>
      <c r="H16"/>
      <c r="I16"/>
      <c r="J16"/>
      <c r="K16"/>
      <c r="L16"/>
      <c r="M16"/>
      <c r="N16"/>
      <c r="O16">
        <v>13.3</v>
      </c>
      <c r="P16">
        <v>19</v>
      </c>
      <c r="Q16"/>
      <c r="R16"/>
      <c r="S16"/>
      <c r="T16"/>
    </row>
    <row r="17" spans="2:20" x14ac:dyDescent="0.3">
      <c r="B17" s="16">
        <v>14.3</v>
      </c>
      <c r="C17" s="16">
        <v>35</v>
      </c>
      <c r="F17"/>
      <c r="G17"/>
      <c r="H17"/>
      <c r="I17"/>
      <c r="J17"/>
      <c r="K17"/>
      <c r="L17"/>
      <c r="M17"/>
      <c r="N17"/>
      <c r="O17">
        <v>14.3</v>
      </c>
      <c r="P17">
        <v>35</v>
      </c>
      <c r="Q17"/>
      <c r="R17"/>
      <c r="S17"/>
      <c r="T17"/>
    </row>
    <row r="18" spans="2:20" x14ac:dyDescent="0.3">
      <c r="B18" s="16">
        <v>15.3</v>
      </c>
      <c r="C18" s="16">
        <v>100</v>
      </c>
      <c r="F18"/>
      <c r="G18"/>
      <c r="H18"/>
      <c r="I18"/>
      <c r="J18"/>
      <c r="K18"/>
      <c r="L18"/>
      <c r="M18"/>
      <c r="N18"/>
      <c r="O18">
        <v>15.3</v>
      </c>
      <c r="P18">
        <v>100</v>
      </c>
      <c r="Q18"/>
      <c r="R18"/>
      <c r="S18"/>
      <c r="T18"/>
    </row>
    <row r="19" spans="2:20" x14ac:dyDescent="0.3">
      <c r="B19" s="16">
        <v>16.3</v>
      </c>
      <c r="C19" s="16">
        <v>100</v>
      </c>
      <c r="F19"/>
      <c r="G19"/>
      <c r="H19"/>
      <c r="I19"/>
      <c r="J19"/>
      <c r="K19"/>
      <c r="L19"/>
      <c r="M19"/>
      <c r="N19"/>
      <c r="O19">
        <v>16.3</v>
      </c>
      <c r="P19">
        <v>100</v>
      </c>
      <c r="Q19"/>
      <c r="R19"/>
      <c r="S19"/>
      <c r="T19"/>
    </row>
    <row r="20" spans="2:20" x14ac:dyDescent="0.3">
      <c r="B20" s="16">
        <v>17.3</v>
      </c>
      <c r="C20" s="16">
        <v>100</v>
      </c>
      <c r="F20"/>
      <c r="G20"/>
      <c r="H20"/>
      <c r="I20"/>
      <c r="J20"/>
      <c r="K20"/>
      <c r="L20"/>
      <c r="M20"/>
      <c r="N20"/>
      <c r="O20">
        <v>17.3</v>
      </c>
      <c r="P20">
        <v>100</v>
      </c>
      <c r="Q20"/>
      <c r="R20"/>
      <c r="S20"/>
      <c r="T20"/>
    </row>
    <row r="21" spans="2:20" x14ac:dyDescent="0.3">
      <c r="F21"/>
      <c r="G21"/>
      <c r="H21"/>
      <c r="I21"/>
      <c r="J21"/>
      <c r="K21"/>
      <c r="L21"/>
      <c r="M21"/>
      <c r="N21"/>
      <c r="O21"/>
      <c r="P21">
        <v>0</v>
      </c>
      <c r="Q21"/>
      <c r="R21"/>
      <c r="S21"/>
      <c r="T21"/>
    </row>
    <row r="22" spans="2:20" x14ac:dyDescent="0.3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2:20" x14ac:dyDescent="0.3">
      <c r="E23" s="11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2:20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2:20" x14ac:dyDescent="0.3"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2:20" x14ac:dyDescent="0.3"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2:20" x14ac:dyDescent="0.3"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2:20" x14ac:dyDescent="0.3"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2:20" x14ac:dyDescent="0.3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2:20" x14ac:dyDescent="0.3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0" x14ac:dyDescent="0.3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3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3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586740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5.AVE_N">
                <anchor moveWithCells="1" sizeWithCells="1">
                  <from>
                    <xdr:col>10</xdr:col>
                    <xdr:colOff>91440</xdr:colOff>
                    <xdr:row>3</xdr:row>
                    <xdr:rowOff>76200</xdr:rowOff>
                  </from>
                  <to>
                    <xdr:col>10</xdr:col>
                    <xdr:colOff>586740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 _pile (2)</vt:lpstr>
      <vt:lpstr>input _pile</vt:lpstr>
      <vt:lpstr>N (2)</vt:lpstr>
      <vt:lpstr>Sheet1</vt:lpstr>
      <vt:lpstr>N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Administrator</cp:lastModifiedBy>
  <cp:lastPrinted>2022-08-24T08:30:50Z</cp:lastPrinted>
  <dcterms:created xsi:type="dcterms:W3CDTF">1997-11-21T02:46:14Z</dcterms:created>
  <dcterms:modified xsi:type="dcterms:W3CDTF">2022-08-26T09:07:46Z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2022-08-26T09:07:45Z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2d9e35b8-6a70-4cf5-9b5a-9ec08fe27e9a</vt:lpwstr>
  </property>
  <property fmtid="{D5CDD505-2E9C-101B-9397-08002B2CF9AE}" pid="8" name="MSIP_Label_340bcb0f-5b51-4b6e-b1dd-058f2ad3bb86_ContentBits">
    <vt:lpwstr>2</vt:lpwstr>
  </property>
</Properties>
</file>