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Ave_N_value\"/>
    </mc:Choice>
  </mc:AlternateContent>
  <xr:revisionPtr revIDLastSave="0" documentId="13_ncr:1_{90FD286E-8078-438A-8694-16AABA43F951}" xr6:coauthVersionLast="36" xr6:coauthVersionMax="47" xr10:uidLastSave="{00000000-0000-0000-0000-000000000000}"/>
  <bookViews>
    <workbookView xWindow="-120" yWindow="-120" windowWidth="20730" windowHeight="11040" tabRatio="603" activeTab="4" xr2:uid="{00000000-000D-0000-FFFF-FFFF00000000}"/>
  </bookViews>
  <sheets>
    <sheet name="input _pile (2)" sheetId="22" r:id="rId1"/>
    <sheet name="N" sheetId="20" r:id="rId2"/>
    <sheet name="PHC" sheetId="23" r:id="rId3"/>
    <sheet name="SHIJIRYOKU" sheetId="19" r:id="rId4"/>
    <sheet name="horizontal strength" sheetId="1" r:id="rId5"/>
    <sheet name="場所打ち" sheetId="18" r:id="rId6"/>
    <sheet name="input _pile" sheetId="21" r:id="rId7"/>
    <sheet name="allowable of pile" sheetId="6" r:id="rId8"/>
    <sheet name="direct stress 300" sheetId="16" r:id="rId9"/>
    <sheet name="direct stress 350" sheetId="15" r:id="rId10"/>
    <sheet name="direct stress" sheetId="10" r:id="rId11"/>
    <sheet name="pile_cap" sheetId="12" r:id="rId12"/>
    <sheet name="N_calc" sheetId="14" r:id="rId13"/>
    <sheet name="Sheet1" sheetId="13" r:id="rId14"/>
    <sheet name="Sheet2" sheetId="17" r:id="rId15"/>
  </sheets>
  <functionGroups builtInGroupCount="19"/>
  <externalReferences>
    <externalReference r:id="rId16"/>
    <externalReference r:id="rId17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43" i="1" l="1"/>
  <c r="D43" i="1"/>
  <c r="F25" i="1"/>
  <c r="H6" i="19"/>
  <c r="AD15" i="23" l="1"/>
  <c r="AF11" i="23"/>
  <c r="Q6" i="23"/>
  <c r="O15" i="23"/>
  <c r="D15" i="23"/>
  <c r="Y15" i="23"/>
  <c r="H7" i="1"/>
  <c r="H8" i="1"/>
  <c r="L16" i="1"/>
  <c r="K16" i="1"/>
  <c r="M16" i="1" s="1"/>
  <c r="H6" i="1"/>
  <c r="K25" i="1"/>
  <c r="E26" i="1"/>
  <c r="E27" i="1"/>
  <c r="E25" i="1"/>
  <c r="K26" i="1"/>
  <c r="K27" i="1"/>
  <c r="Q20" i="19"/>
  <c r="Q19" i="19"/>
  <c r="O19" i="19"/>
  <c r="K43" i="1"/>
  <c r="K44" i="1"/>
  <c r="K45" i="1"/>
  <c r="C44" i="1"/>
  <c r="C45" i="1"/>
  <c r="C43" i="1"/>
  <c r="E44" i="1"/>
  <c r="E45" i="1"/>
  <c r="D44" i="1"/>
  <c r="D45" i="1"/>
  <c r="E43" i="1"/>
  <c r="K50" i="1" l="1"/>
  <c r="H45" i="1"/>
  <c r="H44" i="1"/>
  <c r="AD16" i="23"/>
  <c r="AE16" i="23"/>
  <c r="AD17" i="23"/>
  <c r="AE17" i="23"/>
  <c r="AD18" i="23"/>
  <c r="AE18" i="23"/>
  <c r="AD19" i="23"/>
  <c r="AE19" i="23"/>
  <c r="AD20" i="23"/>
  <c r="AE20" i="23"/>
  <c r="AD21" i="23"/>
  <c r="AE21" i="23"/>
  <c r="AD22" i="23"/>
  <c r="AE22" i="23"/>
  <c r="AD23" i="23"/>
  <c r="AE23" i="23"/>
  <c r="AD24" i="23"/>
  <c r="AE24" i="23"/>
  <c r="AD25" i="23"/>
  <c r="AE25" i="23"/>
  <c r="AD26" i="23"/>
  <c r="AE26" i="23"/>
  <c r="AD27" i="23"/>
  <c r="AE27" i="23"/>
  <c r="AD28" i="23"/>
  <c r="AE28" i="23"/>
  <c r="AD29" i="23"/>
  <c r="AE29" i="23"/>
  <c r="AD30" i="23"/>
  <c r="AE30" i="23"/>
  <c r="AD31" i="23"/>
  <c r="AE31" i="23"/>
  <c r="AD32" i="23"/>
  <c r="AE32" i="23"/>
  <c r="AD33" i="23"/>
  <c r="AE33" i="23"/>
  <c r="AD34" i="23"/>
  <c r="AE34" i="23"/>
  <c r="AD35" i="23"/>
  <c r="AE35" i="23"/>
  <c r="AD36" i="23"/>
  <c r="AE36" i="23"/>
  <c r="AD37" i="23"/>
  <c r="AE37" i="23"/>
  <c r="AD38" i="23"/>
  <c r="AE38" i="23"/>
  <c r="AD39" i="23"/>
  <c r="AE39" i="23"/>
  <c r="AD40" i="23"/>
  <c r="AE40" i="23"/>
  <c r="AD41" i="23"/>
  <c r="AE41" i="23"/>
  <c r="AD42" i="23"/>
  <c r="AE42" i="23"/>
  <c r="AD43" i="23"/>
  <c r="AE43" i="23"/>
  <c r="AD44" i="23"/>
  <c r="AE44" i="23"/>
  <c r="AD45" i="23"/>
  <c r="AE45" i="23"/>
  <c r="AD46" i="23"/>
  <c r="AE46" i="23"/>
  <c r="AD47" i="23"/>
  <c r="AE47" i="23"/>
  <c r="AD48" i="23"/>
  <c r="AE48" i="23"/>
  <c r="AD49" i="23"/>
  <c r="AE49" i="23"/>
  <c r="AD50" i="23"/>
  <c r="AE50" i="23"/>
  <c r="AE15" i="23"/>
  <c r="X18" i="23"/>
  <c r="Y18" i="23"/>
  <c r="X19" i="23"/>
  <c r="Y19" i="23"/>
  <c r="X20" i="23"/>
  <c r="Y20" i="23"/>
  <c r="X21" i="23"/>
  <c r="Y21" i="23"/>
  <c r="X22" i="23"/>
  <c r="Y22" i="23"/>
  <c r="X23" i="23"/>
  <c r="Y23" i="23"/>
  <c r="X24" i="23"/>
  <c r="Y24" i="23"/>
  <c r="X25" i="23"/>
  <c r="Y25" i="23"/>
  <c r="X26" i="23"/>
  <c r="Y26" i="23"/>
  <c r="X27" i="23"/>
  <c r="Y27" i="23"/>
  <c r="X28" i="23"/>
  <c r="Y28" i="23"/>
  <c r="X29" i="23"/>
  <c r="Y29" i="23"/>
  <c r="X30" i="23"/>
  <c r="Y30" i="23"/>
  <c r="X31" i="23"/>
  <c r="Y31" i="23"/>
  <c r="X32" i="23"/>
  <c r="Y32" i="23"/>
  <c r="X33" i="23"/>
  <c r="Y33" i="23"/>
  <c r="X34" i="23"/>
  <c r="Y34" i="23"/>
  <c r="X35" i="23"/>
  <c r="Y35" i="23"/>
  <c r="X36" i="23"/>
  <c r="Y36" i="23"/>
  <c r="X37" i="23"/>
  <c r="Y37" i="23"/>
  <c r="X38" i="23"/>
  <c r="Y38" i="23"/>
  <c r="X39" i="23"/>
  <c r="Y39" i="23"/>
  <c r="X40" i="23"/>
  <c r="Y40" i="23"/>
  <c r="X41" i="23"/>
  <c r="Y41" i="23"/>
  <c r="X42" i="23"/>
  <c r="Y42" i="23"/>
  <c r="X43" i="23"/>
  <c r="Y43" i="23"/>
  <c r="X44" i="23"/>
  <c r="Y44" i="23"/>
  <c r="X45" i="23"/>
  <c r="Y45" i="23"/>
  <c r="X46" i="23"/>
  <c r="Y46" i="23"/>
  <c r="X47" i="23"/>
  <c r="Y47" i="23"/>
  <c r="X48" i="23"/>
  <c r="Y48" i="23"/>
  <c r="X49" i="23"/>
  <c r="Y49" i="23"/>
  <c r="X50" i="23"/>
  <c r="Y50" i="23"/>
  <c r="X16" i="23"/>
  <c r="Y16" i="23"/>
  <c r="X17" i="23"/>
  <c r="Y17" i="23"/>
  <c r="X15" i="23"/>
  <c r="Z7" i="23"/>
  <c r="D8" i="19"/>
  <c r="D9" i="19"/>
  <c r="D10" i="19"/>
  <c r="C25" i="19"/>
  <c r="C27" i="19"/>
  <c r="C24" i="19"/>
  <c r="C26" i="19"/>
  <c r="C23" i="19"/>
  <c r="O9" i="19"/>
  <c r="N10" i="19"/>
  <c r="H10" i="19"/>
  <c r="F6" i="19"/>
  <c r="F7" i="19"/>
  <c r="E8" i="19"/>
  <c r="O7" i="19"/>
  <c r="G7" i="19"/>
  <c r="E6" i="19"/>
  <c r="H7" i="19"/>
  <c r="O10" i="19"/>
  <c r="F8" i="19"/>
  <c r="D6" i="19"/>
  <c r="N6" i="19"/>
  <c r="G8" i="19"/>
  <c r="N7" i="19"/>
  <c r="F9" i="19"/>
  <c r="D7" i="19"/>
  <c r="F10" i="19"/>
  <c r="E7" i="19"/>
  <c r="E10" i="19"/>
  <c r="O6" i="19"/>
  <c r="N8" i="19"/>
  <c r="H8" i="19"/>
  <c r="E9" i="19"/>
  <c r="G9" i="19"/>
  <c r="N9" i="19"/>
  <c r="H9" i="19"/>
  <c r="G10" i="19"/>
  <c r="G6" i="19"/>
  <c r="O8" i="19"/>
  <c r="U16" i="23" l="1"/>
  <c r="U17" i="23"/>
  <c r="U18" i="23"/>
  <c r="U19" i="23"/>
  <c r="U20" i="23"/>
  <c r="U21" i="23"/>
  <c r="U22" i="23"/>
  <c r="U23" i="23"/>
  <c r="U24" i="23"/>
  <c r="U25" i="23"/>
  <c r="U26" i="23"/>
  <c r="U27" i="23"/>
  <c r="U28" i="23"/>
  <c r="U29" i="23"/>
  <c r="U30" i="23"/>
  <c r="U31" i="23"/>
  <c r="U32" i="23"/>
  <c r="U33" i="23"/>
  <c r="U34" i="23"/>
  <c r="U35" i="23"/>
  <c r="U36" i="23"/>
  <c r="U37" i="23"/>
  <c r="U38" i="23"/>
  <c r="U39" i="23"/>
  <c r="U40" i="23"/>
  <c r="U41" i="23"/>
  <c r="U42" i="23"/>
  <c r="U43" i="23"/>
  <c r="U44" i="23"/>
  <c r="U45" i="23"/>
  <c r="U46" i="23"/>
  <c r="U47" i="23"/>
  <c r="U48" i="23"/>
  <c r="U49" i="23"/>
  <c r="U50" i="23"/>
  <c r="U15" i="23"/>
  <c r="S16" i="23"/>
  <c r="S17" i="23"/>
  <c r="S18" i="23"/>
  <c r="S19" i="23"/>
  <c r="S20" i="23"/>
  <c r="S21" i="23"/>
  <c r="S22" i="23"/>
  <c r="S23" i="23"/>
  <c r="S24" i="23"/>
  <c r="S25" i="23"/>
  <c r="S26" i="23"/>
  <c r="S27" i="23"/>
  <c r="S28" i="23"/>
  <c r="S29" i="23"/>
  <c r="S30" i="23"/>
  <c r="S31" i="23"/>
  <c r="S32" i="23"/>
  <c r="S33" i="23"/>
  <c r="S34" i="23"/>
  <c r="S35" i="23"/>
  <c r="S36" i="23"/>
  <c r="S37" i="23"/>
  <c r="S38" i="23"/>
  <c r="S39" i="23"/>
  <c r="S40" i="23"/>
  <c r="S41" i="23"/>
  <c r="S42" i="23"/>
  <c r="S43" i="23"/>
  <c r="S44" i="23"/>
  <c r="S45" i="23"/>
  <c r="S46" i="23"/>
  <c r="S47" i="23"/>
  <c r="S48" i="23"/>
  <c r="S49" i="23"/>
  <c r="S50" i="23"/>
  <c r="S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42" i="23"/>
  <c r="Q43" i="23"/>
  <c r="Q44" i="23"/>
  <c r="Q45" i="23"/>
  <c r="Q46" i="23"/>
  <c r="Q47" i="23"/>
  <c r="Q48" i="23"/>
  <c r="Q49" i="23"/>
  <c r="Q50" i="23"/>
  <c r="Q15" i="23"/>
  <c r="O16" i="23"/>
  <c r="O17" i="23"/>
  <c r="O18" i="23"/>
  <c r="O19" i="23"/>
  <c r="O20" i="23"/>
  <c r="O21" i="23"/>
  <c r="O22" i="23"/>
  <c r="O23" i="23"/>
  <c r="O24" i="23"/>
  <c r="O25" i="23"/>
  <c r="O26" i="23"/>
  <c r="O27" i="23"/>
  <c r="O28" i="23"/>
  <c r="O29" i="23"/>
  <c r="O30" i="23"/>
  <c r="O31" i="23"/>
  <c r="O32" i="23"/>
  <c r="O33" i="23"/>
  <c r="O34" i="23"/>
  <c r="O35" i="23"/>
  <c r="O36" i="23"/>
  <c r="O37" i="23"/>
  <c r="O38" i="23"/>
  <c r="O39" i="23"/>
  <c r="O40" i="23"/>
  <c r="O41" i="23"/>
  <c r="O42" i="23"/>
  <c r="O43" i="23"/>
  <c r="O44" i="23"/>
  <c r="O45" i="23"/>
  <c r="O46" i="23"/>
  <c r="O47" i="23"/>
  <c r="O48" i="23"/>
  <c r="O49" i="23"/>
  <c r="O50" i="23"/>
  <c r="M16" i="23"/>
  <c r="M17" i="23"/>
  <c r="M18" i="23"/>
  <c r="M19" i="23"/>
  <c r="M20" i="23"/>
  <c r="M21" i="23"/>
  <c r="M22" i="23"/>
  <c r="M23" i="23"/>
  <c r="M24" i="23"/>
  <c r="M25" i="23"/>
  <c r="M26" i="23"/>
  <c r="M27" i="23"/>
  <c r="M28" i="23"/>
  <c r="M29" i="23"/>
  <c r="M30" i="23"/>
  <c r="M31" i="23"/>
  <c r="M32" i="23"/>
  <c r="M33" i="23"/>
  <c r="M34" i="23"/>
  <c r="M35" i="23"/>
  <c r="M36" i="23"/>
  <c r="M37" i="23"/>
  <c r="M38" i="23"/>
  <c r="M39" i="23"/>
  <c r="M40" i="23"/>
  <c r="M41" i="23"/>
  <c r="M42" i="23"/>
  <c r="M43" i="23"/>
  <c r="M44" i="23"/>
  <c r="M45" i="23"/>
  <c r="M46" i="23"/>
  <c r="M47" i="23"/>
  <c r="M48" i="23"/>
  <c r="M49" i="23"/>
  <c r="M50" i="23"/>
  <c r="M15" i="23"/>
  <c r="K16" i="23"/>
  <c r="K17" i="23"/>
  <c r="K18" i="23"/>
  <c r="K19" i="23"/>
  <c r="K20" i="23"/>
  <c r="K21" i="23"/>
  <c r="K22" i="23"/>
  <c r="K23" i="23"/>
  <c r="K24" i="23"/>
  <c r="K25" i="23"/>
  <c r="K26" i="23"/>
  <c r="K27" i="23"/>
  <c r="K28" i="23"/>
  <c r="K29" i="23"/>
  <c r="K30" i="23"/>
  <c r="K31" i="23"/>
  <c r="K32" i="23"/>
  <c r="K33" i="23"/>
  <c r="K34" i="23"/>
  <c r="K35" i="23"/>
  <c r="K36" i="23"/>
  <c r="K37" i="23"/>
  <c r="K38" i="23"/>
  <c r="K39" i="23"/>
  <c r="K40" i="23"/>
  <c r="K41" i="23"/>
  <c r="K42" i="23"/>
  <c r="K43" i="23"/>
  <c r="K44" i="23"/>
  <c r="K45" i="23"/>
  <c r="K46" i="23"/>
  <c r="K47" i="23"/>
  <c r="K48" i="23"/>
  <c r="K49" i="23"/>
  <c r="K50" i="23"/>
  <c r="K15" i="23"/>
  <c r="H16" i="23"/>
  <c r="H17" i="23"/>
  <c r="H18" i="23"/>
  <c r="H19" i="23"/>
  <c r="H20" i="23"/>
  <c r="H21" i="23"/>
  <c r="H22" i="23"/>
  <c r="H23" i="23"/>
  <c r="H24" i="23"/>
  <c r="H25" i="23"/>
  <c r="H26" i="23"/>
  <c r="H27" i="23"/>
  <c r="H28" i="23"/>
  <c r="H29" i="23"/>
  <c r="H30" i="23"/>
  <c r="H31" i="23"/>
  <c r="H32" i="23"/>
  <c r="H33" i="23"/>
  <c r="H34" i="23"/>
  <c r="H35" i="23"/>
  <c r="H36" i="23"/>
  <c r="H37" i="23"/>
  <c r="H38" i="23"/>
  <c r="H39" i="23"/>
  <c r="H40" i="23"/>
  <c r="H41" i="23"/>
  <c r="H42" i="23"/>
  <c r="H43" i="23"/>
  <c r="H44" i="23"/>
  <c r="H45" i="23"/>
  <c r="H46" i="23"/>
  <c r="H47" i="23"/>
  <c r="H48" i="23"/>
  <c r="H49" i="23"/>
  <c r="H50" i="23"/>
  <c r="H15" i="23"/>
  <c r="C24" i="18" l="1"/>
  <c r="C25" i="18"/>
  <c r="L25" i="18" s="1"/>
  <c r="C26" i="18"/>
  <c r="C27" i="18"/>
  <c r="C28" i="18"/>
  <c r="L28" i="18" s="1"/>
  <c r="D28" i="18"/>
  <c r="M28" i="18" s="1"/>
  <c r="N28" i="18" l="1"/>
  <c r="O28" i="18" s="1"/>
  <c r="L28" i="19"/>
  <c r="B6" i="22" l="1"/>
  <c r="B7" i="22" s="1"/>
  <c r="B8" i="22" s="1"/>
  <c r="B9" i="22" s="1"/>
  <c r="B10" i="22" s="1"/>
  <c r="B11" i="22" s="1"/>
  <c r="B12" i="22" s="1"/>
  <c r="B13" i="22" s="1"/>
  <c r="B14" i="22" s="1"/>
  <c r="B15" i="22" s="1"/>
  <c r="B16" i="22" s="1"/>
  <c r="B17" i="22" s="1"/>
  <c r="B18" i="22" s="1"/>
  <c r="B19" i="22" s="1"/>
  <c r="B20" i="22" s="1"/>
  <c r="B21" i="22" s="1"/>
  <c r="B22" i="22" s="1"/>
  <c r="B23" i="22" s="1"/>
  <c r="B24" i="22" s="1"/>
  <c r="B27" i="21"/>
  <c r="B26" i="21"/>
  <c r="B28" i="21" s="1"/>
  <c r="B15" i="21"/>
  <c r="B14" i="21"/>
  <c r="B16" i="21" s="1"/>
  <c r="G6" i="21"/>
  <c r="G7" i="21" s="1"/>
  <c r="G8" i="21" s="1"/>
  <c r="G9" i="21" s="1"/>
  <c r="G10" i="21" s="1"/>
  <c r="G11" i="21" s="1"/>
  <c r="G12" i="21" s="1"/>
  <c r="G13" i="21" s="1"/>
  <c r="G14" i="21" s="1"/>
  <c r="G15" i="21" s="1"/>
  <c r="G16" i="21" s="1"/>
  <c r="G17" i="21" s="1"/>
  <c r="G18" i="21" s="1"/>
  <c r="G19" i="21" s="1"/>
  <c r="G20" i="21" s="1"/>
  <c r="G21" i="21" s="1"/>
  <c r="G22" i="21" s="1"/>
  <c r="G23" i="21" s="1"/>
  <c r="G24" i="21" s="1"/>
  <c r="B30" i="21" l="1"/>
  <c r="E23" i="19" l="1"/>
  <c r="M23" i="19" s="1"/>
  <c r="G7" i="20"/>
  <c r="G6" i="20" s="1"/>
  <c r="G8" i="20" l="1"/>
  <c r="B23" i="19"/>
  <c r="F23" i="19"/>
  <c r="N23" i="19" s="1"/>
  <c r="O23" i="19" s="1"/>
  <c r="P23" i="19" s="1"/>
  <c r="R23" i="19"/>
  <c r="B24" i="19"/>
  <c r="E24" i="19"/>
  <c r="M24" i="19" s="1"/>
  <c r="F24" i="19"/>
  <c r="N24" i="19" s="1"/>
  <c r="B25" i="19"/>
  <c r="E25" i="19"/>
  <c r="F25" i="19"/>
  <c r="N25" i="19" s="1"/>
  <c r="B26" i="19"/>
  <c r="E26" i="19"/>
  <c r="M26" i="19" s="1"/>
  <c r="F26" i="19"/>
  <c r="N26" i="19" s="1"/>
  <c r="B27" i="19"/>
  <c r="E27" i="19"/>
  <c r="M27" i="19" s="1"/>
  <c r="F27" i="19"/>
  <c r="N27" i="19" s="1"/>
  <c r="E38" i="19"/>
  <c r="L24" i="18"/>
  <c r="L26" i="18"/>
  <c r="L27" i="18"/>
  <c r="C23" i="18"/>
  <c r="L23" i="18" s="1"/>
  <c r="D23" i="18"/>
  <c r="M23" i="18" s="1"/>
  <c r="Q23" i="18"/>
  <c r="D24" i="18"/>
  <c r="M24" i="18" s="1"/>
  <c r="D25" i="18"/>
  <c r="M25" i="18" s="1"/>
  <c r="D26" i="18"/>
  <c r="M26" i="18"/>
  <c r="D27" i="18"/>
  <c r="M27" i="18" s="1"/>
  <c r="D45" i="18"/>
  <c r="A26" i="6"/>
  <c r="A27" i="6"/>
  <c r="H11" i="17"/>
  <c r="I11" i="17"/>
  <c r="K10" i="17"/>
  <c r="L10" i="17" s="1"/>
  <c r="K12" i="17"/>
  <c r="K11" i="17"/>
  <c r="H12" i="17"/>
  <c r="G12" i="17"/>
  <c r="I12" i="17"/>
  <c r="L12" i="17"/>
  <c r="M12" i="17"/>
  <c r="A24" i="6"/>
  <c r="A25" i="6"/>
  <c r="A23" i="6"/>
  <c r="P23" i="6"/>
  <c r="W8" i="10"/>
  <c r="W9" i="10"/>
  <c r="B27" i="1"/>
  <c r="F45" i="1"/>
  <c r="M45" i="1"/>
  <c r="D6" i="10"/>
  <c r="D23" i="10"/>
  <c r="E6" i="10"/>
  <c r="F6" i="10"/>
  <c r="F23" i="10"/>
  <c r="G6" i="10"/>
  <c r="G23" i="10"/>
  <c r="I6" i="10"/>
  <c r="J6" i="10"/>
  <c r="K6" i="10"/>
  <c r="K8" i="10"/>
  <c r="K9" i="10"/>
  <c r="L6" i="10"/>
  <c r="M6" i="10"/>
  <c r="N6" i="10"/>
  <c r="O6" i="10"/>
  <c r="Q6" i="10"/>
  <c r="R6" i="10"/>
  <c r="S6" i="10"/>
  <c r="T6" i="10"/>
  <c r="T8" i="10"/>
  <c r="T9" i="10"/>
  <c r="U6" i="10"/>
  <c r="V6" i="10"/>
  <c r="Y6" i="10"/>
  <c r="Z6" i="10"/>
  <c r="AA6" i="10"/>
  <c r="AB6" i="10"/>
  <c r="AC6" i="10"/>
  <c r="AD6" i="10"/>
  <c r="AD8" i="10"/>
  <c r="AD9" i="10"/>
  <c r="AE6" i="10"/>
  <c r="AG6" i="10"/>
  <c r="AH6" i="10"/>
  <c r="AI6" i="10"/>
  <c r="AI8" i="10"/>
  <c r="AI9" i="10"/>
  <c r="AJ6" i="10"/>
  <c r="AK6" i="10"/>
  <c r="AK23" i="10"/>
  <c r="AL6" i="10"/>
  <c r="AM6" i="10"/>
  <c r="AM23" i="10"/>
  <c r="C6" i="10"/>
  <c r="AK8" i="10"/>
  <c r="AK9" i="10"/>
  <c r="AL8" i="10"/>
  <c r="AL9" i="10"/>
  <c r="AM8" i="10"/>
  <c r="AM9" i="10"/>
  <c r="AH12" i="10"/>
  <c r="AI12" i="10"/>
  <c r="AI13" i="10" s="1"/>
  <c r="AI14" i="10" s="1"/>
  <c r="AJ12" i="10"/>
  <c r="AK12" i="10"/>
  <c r="AK13" i="10" s="1"/>
  <c r="AK14" i="10" s="1"/>
  <c r="AL12" i="10"/>
  <c r="AL13" i="10" s="1"/>
  <c r="AL14" i="10" s="1"/>
  <c r="AM12" i="10"/>
  <c r="AM13" i="10" s="1"/>
  <c r="AM14" i="10" s="1"/>
  <c r="AH17" i="10"/>
  <c r="AI17" i="10"/>
  <c r="AJ17" i="10"/>
  <c r="AK17" i="10"/>
  <c r="AL17" i="10"/>
  <c r="AM17" i="10"/>
  <c r="AH18" i="10"/>
  <c r="AI18" i="10"/>
  <c r="AJ18" i="10"/>
  <c r="AK18" i="10"/>
  <c r="AL18" i="10"/>
  <c r="AM18" i="10"/>
  <c r="AH21" i="10"/>
  <c r="AH22" i="10"/>
  <c r="AI21" i="10"/>
  <c r="AJ21" i="10"/>
  <c r="AJ22" i="10"/>
  <c r="AK21" i="10"/>
  <c r="AK22" i="10"/>
  <c r="AL21" i="10"/>
  <c r="AM21" i="10"/>
  <c r="AI23" i="10"/>
  <c r="AL23" i="10"/>
  <c r="AH24" i="10"/>
  <c r="AI24" i="10"/>
  <c r="AJ24" i="10"/>
  <c r="AK24" i="10"/>
  <c r="AK25" i="10" s="1"/>
  <c r="AL24" i="10"/>
  <c r="AM24" i="10"/>
  <c r="AM25" i="10" s="1"/>
  <c r="AL25" i="10"/>
  <c r="AH27" i="10"/>
  <c r="AI27" i="10"/>
  <c r="AJ27" i="10"/>
  <c r="AK27" i="10"/>
  <c r="AL27" i="10"/>
  <c r="AM27" i="10"/>
  <c r="AH28" i="10"/>
  <c r="AH29" i="10" s="1"/>
  <c r="AI28" i="10"/>
  <c r="AI29" i="10"/>
  <c r="AJ28" i="10"/>
  <c r="AK28" i="10"/>
  <c r="AK29" i="10" s="1"/>
  <c r="AL28" i="10"/>
  <c r="AL29" i="10" s="1"/>
  <c r="AM28" i="10"/>
  <c r="AM29" i="10" s="1"/>
  <c r="AG8" i="10"/>
  <c r="AG9" i="10"/>
  <c r="AG12" i="10"/>
  <c r="AG13" i="10" s="1"/>
  <c r="AG14" i="10" s="1"/>
  <c r="AG17" i="10"/>
  <c r="AG18" i="10"/>
  <c r="AG21" i="10"/>
  <c r="AG23" i="10"/>
  <c r="AG24" i="10"/>
  <c r="AG25" i="10" s="1"/>
  <c r="AG27" i="10"/>
  <c r="AG28" i="10"/>
  <c r="AG29" i="10" s="1"/>
  <c r="Z8" i="10"/>
  <c r="Z9" i="10"/>
  <c r="AA8" i="10"/>
  <c r="AC8" i="10"/>
  <c r="AC9" i="10"/>
  <c r="AE8" i="10"/>
  <c r="AA9" i="10"/>
  <c r="AE9" i="10"/>
  <c r="Z12" i="10"/>
  <c r="Z13" i="10" s="1"/>
  <c r="Z14" i="10" s="1"/>
  <c r="AA12" i="10"/>
  <c r="AA13" i="10"/>
  <c r="AA14" i="10"/>
  <c r="AB12" i="10"/>
  <c r="AC12" i="10"/>
  <c r="AD12" i="10"/>
  <c r="AD13" i="10" s="1"/>
  <c r="AD14" i="10" s="1"/>
  <c r="AE12" i="10"/>
  <c r="AE13" i="10" s="1"/>
  <c r="AE14" i="10" s="1"/>
  <c r="Z17" i="10"/>
  <c r="AA17" i="10"/>
  <c r="AB17" i="10"/>
  <c r="AC17" i="10"/>
  <c r="AD17" i="10"/>
  <c r="AE17" i="10"/>
  <c r="Z18" i="10"/>
  <c r="AA18" i="10"/>
  <c r="AB18" i="10"/>
  <c r="AC18" i="10"/>
  <c r="AD18" i="10"/>
  <c r="AE18" i="10"/>
  <c r="Z21" i="10"/>
  <c r="Z22" i="10"/>
  <c r="AA21" i="10"/>
  <c r="AA22" i="10"/>
  <c r="AB21" i="10"/>
  <c r="AB22" i="10"/>
  <c r="AC21" i="10"/>
  <c r="AD21" i="10"/>
  <c r="AE21" i="10"/>
  <c r="Z23" i="10"/>
  <c r="AA23" i="10"/>
  <c r="AC23" i="10"/>
  <c r="AD23" i="10"/>
  <c r="AE23" i="10"/>
  <c r="Z24" i="10"/>
  <c r="Z25" i="10"/>
  <c r="AA24" i="10"/>
  <c r="AA25" i="10"/>
  <c r="AA26" i="10" s="1"/>
  <c r="AB24" i="10"/>
  <c r="AC24" i="10"/>
  <c r="AD24" i="10"/>
  <c r="AD25" i="10" s="1"/>
  <c r="AE24" i="10"/>
  <c r="AE25" i="10" s="1"/>
  <c r="Z27" i="10"/>
  <c r="AA27" i="10"/>
  <c r="AB27" i="10"/>
  <c r="AC27" i="10"/>
  <c r="AD27" i="10"/>
  <c r="AE27" i="10"/>
  <c r="Z28" i="10"/>
  <c r="Z29" i="10"/>
  <c r="AA28" i="10"/>
  <c r="AA29" i="10" s="1"/>
  <c r="AB28" i="10"/>
  <c r="AB29" i="10"/>
  <c r="AC28" i="10"/>
  <c r="AD28" i="10"/>
  <c r="AD29" i="10"/>
  <c r="AE28" i="10"/>
  <c r="AE29" i="10"/>
  <c r="Y12" i="10"/>
  <c r="Y17" i="10"/>
  <c r="Y18" i="10"/>
  <c r="Y21" i="10"/>
  <c r="Y22" i="10"/>
  <c r="Y24" i="10"/>
  <c r="Y27" i="10"/>
  <c r="Y28" i="10"/>
  <c r="Y29" i="10" s="1"/>
  <c r="S8" i="10"/>
  <c r="S9" i="10"/>
  <c r="U8" i="10"/>
  <c r="V8" i="10"/>
  <c r="V9" i="10"/>
  <c r="U9" i="10"/>
  <c r="R12" i="10"/>
  <c r="S12" i="10"/>
  <c r="S13" i="10" s="1"/>
  <c r="S14" i="10" s="1"/>
  <c r="T12" i="10"/>
  <c r="U12" i="10"/>
  <c r="V12" i="10"/>
  <c r="V13" i="10" s="1"/>
  <c r="V14" i="10" s="1"/>
  <c r="W12" i="10"/>
  <c r="W13" i="10"/>
  <c r="W14" i="10"/>
  <c r="R17" i="10"/>
  <c r="S17" i="10"/>
  <c r="T17" i="10"/>
  <c r="U17" i="10"/>
  <c r="V17" i="10"/>
  <c r="W17" i="10"/>
  <c r="R18" i="10"/>
  <c r="S18" i="10"/>
  <c r="T18" i="10"/>
  <c r="U18" i="10"/>
  <c r="V18" i="10"/>
  <c r="W18" i="10"/>
  <c r="R21" i="10"/>
  <c r="R22" i="10"/>
  <c r="S21" i="10"/>
  <c r="S22" i="10"/>
  <c r="T21" i="10"/>
  <c r="T22" i="10"/>
  <c r="U21" i="10"/>
  <c r="V21" i="10"/>
  <c r="W21" i="10"/>
  <c r="S23" i="10"/>
  <c r="U23" i="10"/>
  <c r="V23" i="10"/>
  <c r="W23" i="10"/>
  <c r="R24" i="10"/>
  <c r="S24" i="10"/>
  <c r="S25" i="10" s="1"/>
  <c r="S26" i="10" s="1"/>
  <c r="T24" i="10"/>
  <c r="U24" i="10"/>
  <c r="U25" i="10" s="1"/>
  <c r="U34" i="10" s="1"/>
  <c r="V24" i="10"/>
  <c r="V25" i="10" s="1"/>
  <c r="W24" i="10"/>
  <c r="W25" i="10"/>
  <c r="W33" i="10"/>
  <c r="R27" i="10"/>
  <c r="S27" i="10"/>
  <c r="T27" i="10"/>
  <c r="U27" i="10"/>
  <c r="V27" i="10"/>
  <c r="W27" i="10"/>
  <c r="R28" i="10"/>
  <c r="R29" i="10" s="1"/>
  <c r="S28" i="10"/>
  <c r="S29" i="10" s="1"/>
  <c r="T28" i="10"/>
  <c r="T29" i="10"/>
  <c r="U28" i="10"/>
  <c r="U29" i="10"/>
  <c r="V28" i="10"/>
  <c r="V29" i="10" s="1"/>
  <c r="W28" i="10"/>
  <c r="W29" i="10" s="1"/>
  <c r="J8" i="10"/>
  <c r="L8" i="10"/>
  <c r="L9" i="10"/>
  <c r="M8" i="10"/>
  <c r="M9" i="10"/>
  <c r="O8" i="10"/>
  <c r="O9" i="10"/>
  <c r="J9" i="10"/>
  <c r="J12" i="10"/>
  <c r="K12" i="10"/>
  <c r="K13" i="10" s="1"/>
  <c r="K14" i="10" s="1"/>
  <c r="L12" i="10"/>
  <c r="L13" i="10" s="1"/>
  <c r="L14" i="10" s="1"/>
  <c r="M12" i="10"/>
  <c r="M13" i="10" s="1"/>
  <c r="M14" i="10" s="1"/>
  <c r="N12" i="10"/>
  <c r="O12" i="10"/>
  <c r="O13" i="10" s="1"/>
  <c r="O14" i="10" s="1"/>
  <c r="J17" i="10"/>
  <c r="K17" i="10"/>
  <c r="L17" i="10"/>
  <c r="M17" i="10"/>
  <c r="N17" i="10"/>
  <c r="O17" i="10"/>
  <c r="J18" i="10"/>
  <c r="K18" i="10"/>
  <c r="L18" i="10"/>
  <c r="M18" i="10"/>
  <c r="N18" i="10"/>
  <c r="O18" i="10"/>
  <c r="J21" i="10"/>
  <c r="J22" i="10"/>
  <c r="K21" i="10"/>
  <c r="K22" i="10"/>
  <c r="L21" i="10"/>
  <c r="L22" i="10"/>
  <c r="M21" i="10"/>
  <c r="M22" i="10"/>
  <c r="N21" i="10"/>
  <c r="N22" i="10"/>
  <c r="O21" i="10"/>
  <c r="O22" i="10"/>
  <c r="J23" i="10"/>
  <c r="L23" i="10"/>
  <c r="M23" i="10"/>
  <c r="O23" i="10"/>
  <c r="J24" i="10"/>
  <c r="J25" i="10" s="1"/>
  <c r="J33" i="10" s="1"/>
  <c r="K24" i="10"/>
  <c r="L24" i="10"/>
  <c r="L25" i="10"/>
  <c r="M24" i="10"/>
  <c r="N24" i="10"/>
  <c r="O24" i="10"/>
  <c r="O25" i="10"/>
  <c r="O26" i="10" s="1"/>
  <c r="O33" i="10"/>
  <c r="M25" i="10"/>
  <c r="M34" i="10"/>
  <c r="J27" i="10"/>
  <c r="K27" i="10"/>
  <c r="L27" i="10"/>
  <c r="M27" i="10"/>
  <c r="N27" i="10"/>
  <c r="O27" i="10"/>
  <c r="J28" i="10"/>
  <c r="J29" i="10" s="1"/>
  <c r="K28" i="10"/>
  <c r="K29" i="10"/>
  <c r="L28" i="10"/>
  <c r="L29" i="10"/>
  <c r="M28" i="10"/>
  <c r="N28" i="10"/>
  <c r="N29" i="10" s="1"/>
  <c r="O28" i="10"/>
  <c r="O29" i="10" s="1"/>
  <c r="I12" i="10"/>
  <c r="I17" i="10"/>
  <c r="I18" i="10"/>
  <c r="I21" i="10"/>
  <c r="I24" i="10"/>
  <c r="I27" i="10"/>
  <c r="I28" i="10"/>
  <c r="I29" i="10" s="1"/>
  <c r="D8" i="10"/>
  <c r="D9" i="10"/>
  <c r="F8" i="10"/>
  <c r="F9" i="10"/>
  <c r="G8" i="10"/>
  <c r="G9" i="10"/>
  <c r="D12" i="10"/>
  <c r="D13" i="10" s="1"/>
  <c r="D14" i="10" s="1"/>
  <c r="E12" i="10"/>
  <c r="F12" i="10"/>
  <c r="F13" i="10" s="1"/>
  <c r="F14" i="10" s="1"/>
  <c r="G12" i="10"/>
  <c r="D17" i="10"/>
  <c r="E17" i="10"/>
  <c r="F17" i="10"/>
  <c r="G17" i="10"/>
  <c r="D18" i="10"/>
  <c r="E18" i="10"/>
  <c r="F18" i="10"/>
  <c r="G18" i="10"/>
  <c r="D21" i="10"/>
  <c r="E21" i="10"/>
  <c r="E22" i="10"/>
  <c r="F21" i="10"/>
  <c r="G21" i="10"/>
  <c r="G22" i="10"/>
  <c r="D24" i="10"/>
  <c r="D25" i="10" s="1"/>
  <c r="E24" i="10"/>
  <c r="F24" i="10"/>
  <c r="G24" i="10"/>
  <c r="D27" i="10"/>
  <c r="E27" i="10"/>
  <c r="F27" i="10"/>
  <c r="G27" i="10"/>
  <c r="D28" i="10"/>
  <c r="D29" i="10"/>
  <c r="E28" i="10"/>
  <c r="E29" i="10"/>
  <c r="F28" i="10"/>
  <c r="G28" i="10"/>
  <c r="G29" i="10" s="1"/>
  <c r="F29" i="10"/>
  <c r="D15" i="14"/>
  <c r="E18" i="12"/>
  <c r="E15" i="12"/>
  <c r="E16" i="12"/>
  <c r="E19" i="12"/>
  <c r="F18" i="12"/>
  <c r="F14" i="12"/>
  <c r="F15" i="12"/>
  <c r="F16" i="12"/>
  <c r="F19" i="12"/>
  <c r="G80" i="12"/>
  <c r="F52" i="12"/>
  <c r="F57" i="12"/>
  <c r="E52" i="12"/>
  <c r="E57" i="12"/>
  <c r="D13" i="13"/>
  <c r="D14" i="13"/>
  <c r="D15" i="13"/>
  <c r="E15" i="13"/>
  <c r="E14" i="13"/>
  <c r="C15" i="13"/>
  <c r="C14" i="13"/>
  <c r="B14" i="13"/>
  <c r="C13" i="13"/>
  <c r="D8" i="13"/>
  <c r="E8" i="13"/>
  <c r="AC5" i="16"/>
  <c r="B6" i="16"/>
  <c r="B8" i="16"/>
  <c r="C6" i="16"/>
  <c r="D6" i="16"/>
  <c r="E6" i="16"/>
  <c r="E8" i="16"/>
  <c r="E9" i="16"/>
  <c r="F6" i="16"/>
  <c r="F23" i="16"/>
  <c r="G6" i="16"/>
  <c r="I6" i="16"/>
  <c r="J6" i="16"/>
  <c r="J23" i="16"/>
  <c r="K6" i="16"/>
  <c r="L6" i="16"/>
  <c r="L8" i="16"/>
  <c r="L9" i="16"/>
  <c r="M6" i="16"/>
  <c r="M8" i="16"/>
  <c r="M9" i="16"/>
  <c r="N6" i="16"/>
  <c r="P6" i="16"/>
  <c r="P23" i="16"/>
  <c r="Q6" i="16"/>
  <c r="Q8" i="16"/>
  <c r="Q9" i="16"/>
  <c r="R6" i="16"/>
  <c r="S6" i="16"/>
  <c r="S23" i="16"/>
  <c r="U6" i="16"/>
  <c r="V6" i="16"/>
  <c r="W6" i="16"/>
  <c r="W8" i="16"/>
  <c r="W9" i="16"/>
  <c r="C8" i="16"/>
  <c r="C9" i="16"/>
  <c r="G8" i="16"/>
  <c r="G9" i="16"/>
  <c r="I8" i="16"/>
  <c r="I9" i="16"/>
  <c r="R8" i="16"/>
  <c r="R9" i="16"/>
  <c r="U8" i="16"/>
  <c r="U9" i="16"/>
  <c r="AC11" i="16"/>
  <c r="B12" i="16"/>
  <c r="C12" i="16"/>
  <c r="C13" i="16" s="1"/>
  <c r="C14" i="16" s="1"/>
  <c r="D12" i="16"/>
  <c r="E12" i="16"/>
  <c r="E13" i="16" s="1"/>
  <c r="E14" i="16" s="1"/>
  <c r="F12" i="16"/>
  <c r="G12" i="16"/>
  <c r="G13" i="16" s="1"/>
  <c r="G14" i="16" s="1"/>
  <c r="I12" i="16"/>
  <c r="J12" i="16"/>
  <c r="K12" i="16"/>
  <c r="L12" i="16"/>
  <c r="L13" i="16" s="1"/>
  <c r="L14" i="16" s="1"/>
  <c r="M12" i="16"/>
  <c r="M13" i="16" s="1"/>
  <c r="M14" i="16" s="1"/>
  <c r="N12" i="16"/>
  <c r="P12" i="16"/>
  <c r="Q12" i="16"/>
  <c r="Q13" i="16" s="1"/>
  <c r="Q14" i="16" s="1"/>
  <c r="R12" i="16"/>
  <c r="S12" i="16"/>
  <c r="U12" i="16"/>
  <c r="U13" i="16" s="1"/>
  <c r="U14" i="16" s="1"/>
  <c r="V12" i="16"/>
  <c r="W12" i="16"/>
  <c r="W13" i="16" s="1"/>
  <c r="W14" i="16" s="1"/>
  <c r="B17" i="16"/>
  <c r="C17" i="16"/>
  <c r="D17" i="16"/>
  <c r="E17" i="16"/>
  <c r="F17" i="16"/>
  <c r="G17" i="16"/>
  <c r="I17" i="16"/>
  <c r="J17" i="16"/>
  <c r="K17" i="16"/>
  <c r="L17" i="16"/>
  <c r="M17" i="16"/>
  <c r="N17" i="16"/>
  <c r="P17" i="16"/>
  <c r="Q17" i="16"/>
  <c r="R17" i="16"/>
  <c r="S17" i="16"/>
  <c r="U17" i="16"/>
  <c r="V17" i="16"/>
  <c r="W17" i="16"/>
  <c r="B18" i="16"/>
  <c r="C18" i="16"/>
  <c r="D18" i="16"/>
  <c r="E18" i="16"/>
  <c r="F18" i="16"/>
  <c r="G18" i="16"/>
  <c r="I18" i="16"/>
  <c r="J18" i="16"/>
  <c r="K18" i="16"/>
  <c r="L18" i="16"/>
  <c r="M18" i="16"/>
  <c r="N18" i="16"/>
  <c r="P18" i="16"/>
  <c r="Q18" i="16"/>
  <c r="R18" i="16"/>
  <c r="S18" i="16"/>
  <c r="U18" i="16"/>
  <c r="V18" i="16"/>
  <c r="W18" i="16"/>
  <c r="B21" i="16"/>
  <c r="C21" i="16"/>
  <c r="D21" i="16"/>
  <c r="E21" i="16"/>
  <c r="F21" i="16"/>
  <c r="G21" i="16"/>
  <c r="I21" i="16"/>
  <c r="I22" i="16"/>
  <c r="J21" i="16"/>
  <c r="K21" i="16"/>
  <c r="L21" i="16"/>
  <c r="M21" i="16"/>
  <c r="M22" i="16"/>
  <c r="N21" i="16"/>
  <c r="N22" i="16" s="1"/>
  <c r="P21" i="16"/>
  <c r="Q21" i="16"/>
  <c r="R21" i="16"/>
  <c r="R22" i="16"/>
  <c r="S21" i="16"/>
  <c r="U21" i="16"/>
  <c r="V21" i="16"/>
  <c r="W21" i="16"/>
  <c r="W22" i="16" s="1"/>
  <c r="G22" i="16"/>
  <c r="J22" i="16"/>
  <c r="S22" i="16"/>
  <c r="B23" i="16"/>
  <c r="C23" i="16"/>
  <c r="E23" i="16"/>
  <c r="G23" i="16"/>
  <c r="I23" i="16"/>
  <c r="Q23" i="16"/>
  <c r="R23" i="16"/>
  <c r="U23" i="16"/>
  <c r="W23" i="16"/>
  <c r="B24" i="16"/>
  <c r="B25" i="16"/>
  <c r="C24" i="16"/>
  <c r="C25" i="16"/>
  <c r="D24" i="16"/>
  <c r="E24" i="16"/>
  <c r="E25" i="16"/>
  <c r="E33" i="16"/>
  <c r="F24" i="16"/>
  <c r="F25" i="16" s="1"/>
  <c r="G24" i="16"/>
  <c r="G25" i="16" s="1"/>
  <c r="G26" i="16" s="1"/>
  <c r="I24" i="16"/>
  <c r="J24" i="16"/>
  <c r="J25" i="16" s="1"/>
  <c r="K24" i="16"/>
  <c r="L24" i="16"/>
  <c r="M24" i="16"/>
  <c r="N24" i="16"/>
  <c r="P24" i="16"/>
  <c r="P25" i="16"/>
  <c r="Q24" i="16"/>
  <c r="R24" i="16"/>
  <c r="S24" i="16"/>
  <c r="S25" i="16"/>
  <c r="U24" i="16"/>
  <c r="U25" i="16" s="1"/>
  <c r="V24" i="16"/>
  <c r="W24" i="16"/>
  <c r="Q25" i="16"/>
  <c r="B27" i="16"/>
  <c r="C27" i="16"/>
  <c r="D27" i="16"/>
  <c r="E27" i="16"/>
  <c r="F27" i="16"/>
  <c r="G27" i="16"/>
  <c r="I27" i="16"/>
  <c r="J27" i="16"/>
  <c r="K27" i="16"/>
  <c r="L27" i="16"/>
  <c r="M27" i="16"/>
  <c r="N27" i="16"/>
  <c r="P27" i="16"/>
  <c r="Q27" i="16"/>
  <c r="R27" i="16"/>
  <c r="S27" i="16"/>
  <c r="U27" i="16"/>
  <c r="V27" i="16"/>
  <c r="W27" i="16"/>
  <c r="B28" i="16"/>
  <c r="C28" i="16"/>
  <c r="D28" i="16"/>
  <c r="D29" i="16"/>
  <c r="E28" i="16"/>
  <c r="E29" i="16" s="1"/>
  <c r="F28" i="16"/>
  <c r="F29" i="16"/>
  <c r="G28" i="16"/>
  <c r="G29" i="16" s="1"/>
  <c r="I28" i="16"/>
  <c r="I29" i="16"/>
  <c r="J28" i="16"/>
  <c r="J29" i="16" s="1"/>
  <c r="K28" i="16"/>
  <c r="L28" i="16"/>
  <c r="M28" i="16"/>
  <c r="M29" i="16"/>
  <c r="N28" i="16"/>
  <c r="N29" i="16" s="1"/>
  <c r="P28" i="16"/>
  <c r="P29" i="16"/>
  <c r="Q28" i="16"/>
  <c r="R28" i="16"/>
  <c r="R29" i="16"/>
  <c r="S28" i="16"/>
  <c r="U28" i="16"/>
  <c r="V28" i="16"/>
  <c r="V29" i="16"/>
  <c r="W28" i="16"/>
  <c r="W29" i="16"/>
  <c r="Q29" i="16"/>
  <c r="E6" i="15"/>
  <c r="E8" i="15"/>
  <c r="E9" i="15"/>
  <c r="F6" i="15"/>
  <c r="F8" i="15"/>
  <c r="F9" i="15"/>
  <c r="G6" i="15"/>
  <c r="G8" i="15"/>
  <c r="G9" i="15"/>
  <c r="H6" i="15"/>
  <c r="J6" i="15"/>
  <c r="K6" i="15"/>
  <c r="K8" i="15"/>
  <c r="K9" i="15"/>
  <c r="L6" i="15"/>
  <c r="M6" i="15"/>
  <c r="M23" i="15"/>
  <c r="N6" i="15"/>
  <c r="N8" i="15"/>
  <c r="N9" i="15"/>
  <c r="O6" i="15"/>
  <c r="Q6" i="15"/>
  <c r="Q8" i="15"/>
  <c r="Q9" i="15"/>
  <c r="R6" i="15"/>
  <c r="R8" i="15"/>
  <c r="R9" i="15"/>
  <c r="S6" i="15"/>
  <c r="T6" i="15"/>
  <c r="T8" i="15"/>
  <c r="T9" i="15"/>
  <c r="V6" i="15"/>
  <c r="W6" i="15"/>
  <c r="W23" i="15"/>
  <c r="X6" i="15"/>
  <c r="D6" i="15"/>
  <c r="D8" i="15"/>
  <c r="D9" i="15"/>
  <c r="C6" i="15"/>
  <c r="Z5" i="15"/>
  <c r="J8" i="15"/>
  <c r="O8" i="15"/>
  <c r="O9" i="15"/>
  <c r="S8" i="15"/>
  <c r="W8" i="15"/>
  <c r="W9" i="15"/>
  <c r="X8" i="15"/>
  <c r="X9" i="15"/>
  <c r="J9" i="15"/>
  <c r="S9" i="15"/>
  <c r="Z11" i="15"/>
  <c r="C12" i="15"/>
  <c r="D12" i="15"/>
  <c r="E12" i="15"/>
  <c r="E13" i="15" s="1"/>
  <c r="E14" i="15" s="1"/>
  <c r="F12" i="15"/>
  <c r="F13" i="15" s="1"/>
  <c r="F14" i="15" s="1"/>
  <c r="G12" i="15"/>
  <c r="H12" i="15"/>
  <c r="J12" i="15"/>
  <c r="J13" i="15" s="1"/>
  <c r="J14" i="15" s="1"/>
  <c r="K12" i="15"/>
  <c r="K13" i="15" s="1"/>
  <c r="K14" i="15" s="1"/>
  <c r="L12" i="15"/>
  <c r="M12" i="15"/>
  <c r="N12" i="15"/>
  <c r="N13" i="15" s="1"/>
  <c r="N14" i="15" s="1"/>
  <c r="O12" i="15"/>
  <c r="O13" i="15" s="1"/>
  <c r="O14" i="15" s="1"/>
  <c r="Q12" i="15"/>
  <c r="R12" i="15"/>
  <c r="R13" i="15" s="1"/>
  <c r="R14" i="15" s="1"/>
  <c r="S12" i="15"/>
  <c r="S13" i="15" s="1"/>
  <c r="S14" i="15" s="1"/>
  <c r="T12" i="15"/>
  <c r="T13" i="15" s="1"/>
  <c r="T14" i="15" s="1"/>
  <c r="V12" i="15"/>
  <c r="W12" i="15"/>
  <c r="X12" i="15"/>
  <c r="C17" i="15"/>
  <c r="D17" i="15"/>
  <c r="E17" i="15"/>
  <c r="F17" i="15"/>
  <c r="G17" i="15"/>
  <c r="H17" i="15"/>
  <c r="J17" i="15"/>
  <c r="K17" i="15"/>
  <c r="L17" i="15"/>
  <c r="M17" i="15"/>
  <c r="N17" i="15"/>
  <c r="O17" i="15"/>
  <c r="Q17" i="15"/>
  <c r="R17" i="15"/>
  <c r="S17" i="15"/>
  <c r="T17" i="15"/>
  <c r="V17" i="15"/>
  <c r="W17" i="15"/>
  <c r="X17" i="15"/>
  <c r="C18" i="15"/>
  <c r="D18" i="15"/>
  <c r="E18" i="15"/>
  <c r="F18" i="15"/>
  <c r="G18" i="15"/>
  <c r="H18" i="15"/>
  <c r="J18" i="15"/>
  <c r="K18" i="15"/>
  <c r="L18" i="15"/>
  <c r="M18" i="15"/>
  <c r="N18" i="15"/>
  <c r="O18" i="15"/>
  <c r="Q18" i="15"/>
  <c r="R18" i="15"/>
  <c r="S18" i="15"/>
  <c r="T18" i="15"/>
  <c r="V18" i="15"/>
  <c r="W18" i="15"/>
  <c r="X18" i="15"/>
  <c r="C21" i="15"/>
  <c r="C22" i="15"/>
  <c r="D21" i="15"/>
  <c r="E21" i="15"/>
  <c r="F21" i="15"/>
  <c r="F22" i="15"/>
  <c r="G21" i="15"/>
  <c r="H21" i="15"/>
  <c r="J21" i="15"/>
  <c r="K21" i="15"/>
  <c r="K22" i="15"/>
  <c r="L21" i="15"/>
  <c r="M21" i="15"/>
  <c r="N21" i="15"/>
  <c r="N22" i="15"/>
  <c r="O21" i="15"/>
  <c r="O22" i="15"/>
  <c r="Q21" i="15"/>
  <c r="R21" i="15"/>
  <c r="S21" i="15"/>
  <c r="T21" i="15"/>
  <c r="V21" i="15"/>
  <c r="V22" i="15"/>
  <c r="W21" i="15"/>
  <c r="X21" i="15"/>
  <c r="X22" i="15"/>
  <c r="L22" i="15"/>
  <c r="T22" i="15"/>
  <c r="D23" i="15"/>
  <c r="E23" i="15"/>
  <c r="F23" i="15"/>
  <c r="G23" i="15"/>
  <c r="J23" i="15"/>
  <c r="N23" i="15"/>
  <c r="O23" i="15"/>
  <c r="Q23" i="15"/>
  <c r="R23" i="15"/>
  <c r="S23" i="15"/>
  <c r="T23" i="15"/>
  <c r="X23" i="15"/>
  <c r="C24" i="15"/>
  <c r="D24" i="15"/>
  <c r="D25" i="15" s="1"/>
  <c r="E24" i="15"/>
  <c r="E25" i="15" s="1"/>
  <c r="F24" i="15"/>
  <c r="F25" i="15"/>
  <c r="G24" i="15"/>
  <c r="G25" i="15"/>
  <c r="H24" i="15"/>
  <c r="J24" i="15"/>
  <c r="J25" i="15" s="1"/>
  <c r="K24" i="15"/>
  <c r="L24" i="15"/>
  <c r="M24" i="15"/>
  <c r="M25" i="15"/>
  <c r="M34" i="15"/>
  <c r="N24" i="15"/>
  <c r="N25" i="15"/>
  <c r="N26" i="15" s="1"/>
  <c r="O24" i="15"/>
  <c r="O25" i="15" s="1"/>
  <c r="Q24" i="15"/>
  <c r="Q25" i="15" s="1"/>
  <c r="R24" i="15"/>
  <c r="S24" i="15"/>
  <c r="S25" i="15" s="1"/>
  <c r="T24" i="15"/>
  <c r="V24" i="15"/>
  <c r="W24" i="15"/>
  <c r="X24" i="15"/>
  <c r="X25" i="15"/>
  <c r="X26" i="15" s="1"/>
  <c r="C27" i="15"/>
  <c r="D27" i="15"/>
  <c r="E27" i="15"/>
  <c r="F27" i="15"/>
  <c r="G27" i="15"/>
  <c r="H27" i="15"/>
  <c r="J27" i="15"/>
  <c r="K27" i="15"/>
  <c r="L27" i="15"/>
  <c r="M27" i="15"/>
  <c r="N27" i="15"/>
  <c r="O27" i="15"/>
  <c r="Q27" i="15"/>
  <c r="R27" i="15"/>
  <c r="S27" i="15"/>
  <c r="T27" i="15"/>
  <c r="V27" i="15"/>
  <c r="W27" i="15"/>
  <c r="X27" i="15"/>
  <c r="C28" i="15"/>
  <c r="C29" i="15" s="1"/>
  <c r="D28" i="15"/>
  <c r="D29" i="15" s="1"/>
  <c r="E28" i="15"/>
  <c r="E29" i="15"/>
  <c r="F28" i="15"/>
  <c r="F29" i="15"/>
  <c r="G28" i="15"/>
  <c r="G29" i="15"/>
  <c r="H28" i="15"/>
  <c r="H29" i="15" s="1"/>
  <c r="J28" i="15"/>
  <c r="J29" i="15"/>
  <c r="K28" i="15"/>
  <c r="K29" i="15" s="1"/>
  <c r="L28" i="15"/>
  <c r="M28" i="15"/>
  <c r="N28" i="15"/>
  <c r="N29" i="15" s="1"/>
  <c r="O28" i="15"/>
  <c r="Q28" i="15"/>
  <c r="Q29" i="15" s="1"/>
  <c r="R28" i="15"/>
  <c r="R29" i="15"/>
  <c r="S28" i="15"/>
  <c r="S29" i="15"/>
  <c r="T28" i="15"/>
  <c r="T29" i="15" s="1"/>
  <c r="V28" i="15"/>
  <c r="V29" i="15" s="1"/>
  <c r="W28" i="15"/>
  <c r="W29" i="15"/>
  <c r="X28" i="15"/>
  <c r="X29" i="15"/>
  <c r="O29" i="15"/>
  <c r="D39" i="6"/>
  <c r="Q8" i="10"/>
  <c r="Q17" i="10"/>
  <c r="Q18" i="10"/>
  <c r="Q21" i="10"/>
  <c r="Q22" i="10" s="1"/>
  <c r="Q23" i="10"/>
  <c r="Q24" i="10"/>
  <c r="Q25" i="10" s="1"/>
  <c r="Q27" i="10"/>
  <c r="Q28" i="10"/>
  <c r="Q29" i="10" s="1"/>
  <c r="C8" i="10"/>
  <c r="C9" i="10"/>
  <c r="Q9" i="10"/>
  <c r="Q12" i="10"/>
  <c r="Q13" i="10" s="1"/>
  <c r="Q14" i="10" s="1"/>
  <c r="C28" i="10"/>
  <c r="C18" i="10"/>
  <c r="C21" i="10"/>
  <c r="C22" i="10"/>
  <c r="C23" i="10"/>
  <c r="C24" i="10"/>
  <c r="C25" i="10" s="1"/>
  <c r="C26" i="10" s="1"/>
  <c r="AO5" i="10"/>
  <c r="C27" i="10"/>
  <c r="C17" i="10"/>
  <c r="C12" i="10"/>
  <c r="AO11" i="10"/>
  <c r="B26" i="1"/>
  <c r="L7" i="1"/>
  <c r="M7" i="1" s="1"/>
  <c r="O7" i="1" s="1"/>
  <c r="L6" i="1"/>
  <c r="M6" i="1" s="1"/>
  <c r="O6" i="1" s="1"/>
  <c r="J25" i="1" s="1"/>
  <c r="B25" i="1"/>
  <c r="M43" i="1"/>
  <c r="F43" i="1"/>
  <c r="F44" i="1"/>
  <c r="M44" i="1"/>
  <c r="F21" i="14"/>
  <c r="I20" i="14"/>
  <c r="F20" i="14"/>
  <c r="D20" i="14"/>
  <c r="F8" i="14"/>
  <c r="G11" i="14"/>
  <c r="I30" i="14"/>
  <c r="I31" i="14"/>
  <c r="D31" i="14"/>
  <c r="E31" i="14"/>
  <c r="F31" i="14"/>
  <c r="G31" i="14"/>
  <c r="H31" i="14"/>
  <c r="D29" i="14"/>
  <c r="E29" i="14"/>
  <c r="F29" i="14"/>
  <c r="G29" i="14"/>
  <c r="H29" i="14"/>
  <c r="I29" i="14"/>
  <c r="D30" i="14"/>
  <c r="E30" i="14"/>
  <c r="F30" i="14"/>
  <c r="G30" i="14"/>
  <c r="H30" i="14"/>
  <c r="D27" i="14"/>
  <c r="E27" i="14"/>
  <c r="F27" i="14"/>
  <c r="G27" i="14"/>
  <c r="H27" i="14"/>
  <c r="I27" i="14"/>
  <c r="D28" i="14"/>
  <c r="E28" i="14"/>
  <c r="F28" i="14"/>
  <c r="G28" i="14"/>
  <c r="H28" i="14"/>
  <c r="I28" i="14"/>
  <c r="D4" i="14"/>
  <c r="E4" i="14"/>
  <c r="F4" i="14"/>
  <c r="G4" i="14"/>
  <c r="H4" i="14"/>
  <c r="I4" i="14"/>
  <c r="D5" i="14"/>
  <c r="E5" i="14"/>
  <c r="F5" i="14"/>
  <c r="G5" i="14"/>
  <c r="H5" i="14"/>
  <c r="I5" i="14"/>
  <c r="D6" i="14"/>
  <c r="E6" i="14"/>
  <c r="F6" i="14"/>
  <c r="G6" i="14"/>
  <c r="H6" i="14"/>
  <c r="I6" i="14"/>
  <c r="D7" i="14"/>
  <c r="E7" i="14"/>
  <c r="F7" i="14"/>
  <c r="G7" i="14"/>
  <c r="H7" i="14"/>
  <c r="I7" i="14"/>
  <c r="D8" i="14"/>
  <c r="E8" i="14"/>
  <c r="G8" i="14"/>
  <c r="H8" i="14"/>
  <c r="I8" i="14"/>
  <c r="D9" i="14"/>
  <c r="E9" i="14"/>
  <c r="F9" i="14"/>
  <c r="G9" i="14"/>
  <c r="H9" i="14"/>
  <c r="I9" i="14"/>
  <c r="D10" i="14"/>
  <c r="E10" i="14"/>
  <c r="F10" i="14"/>
  <c r="G10" i="14"/>
  <c r="H10" i="14"/>
  <c r="I10" i="14"/>
  <c r="D11" i="14"/>
  <c r="E11" i="14"/>
  <c r="F11" i="14"/>
  <c r="H11" i="14"/>
  <c r="I11" i="14"/>
  <c r="D12" i="14"/>
  <c r="E12" i="14"/>
  <c r="F12" i="14"/>
  <c r="G12" i="14"/>
  <c r="H12" i="14"/>
  <c r="I12" i="14"/>
  <c r="D13" i="14"/>
  <c r="E13" i="14"/>
  <c r="F13" i="14"/>
  <c r="G13" i="14"/>
  <c r="H13" i="14"/>
  <c r="I13" i="14"/>
  <c r="D14" i="14"/>
  <c r="E14" i="14"/>
  <c r="F14" i="14"/>
  <c r="G14" i="14"/>
  <c r="H14" i="14"/>
  <c r="I14" i="14"/>
  <c r="E15" i="14"/>
  <c r="F15" i="14"/>
  <c r="G15" i="14"/>
  <c r="H15" i="14"/>
  <c r="I15" i="14"/>
  <c r="D16" i="14"/>
  <c r="E16" i="14"/>
  <c r="F16" i="14"/>
  <c r="G16" i="14"/>
  <c r="H16" i="14"/>
  <c r="I16" i="14"/>
  <c r="D17" i="14"/>
  <c r="E17" i="14"/>
  <c r="F17" i="14"/>
  <c r="G17" i="14"/>
  <c r="H17" i="14"/>
  <c r="I17" i="14"/>
  <c r="D18" i="14"/>
  <c r="E18" i="14"/>
  <c r="F18" i="14"/>
  <c r="G18" i="14"/>
  <c r="H18" i="14"/>
  <c r="I18" i="14"/>
  <c r="D19" i="14"/>
  <c r="E19" i="14"/>
  <c r="F19" i="14"/>
  <c r="G19" i="14"/>
  <c r="H19" i="14"/>
  <c r="I19" i="14"/>
  <c r="E20" i="14"/>
  <c r="G20" i="14"/>
  <c r="H20" i="14"/>
  <c r="D21" i="14"/>
  <c r="E21" i="14"/>
  <c r="G21" i="14"/>
  <c r="H21" i="14"/>
  <c r="I21" i="14"/>
  <c r="D22" i="14"/>
  <c r="E22" i="14"/>
  <c r="F22" i="14"/>
  <c r="G22" i="14"/>
  <c r="H22" i="14"/>
  <c r="I22" i="14"/>
  <c r="D23" i="14"/>
  <c r="E23" i="14"/>
  <c r="F23" i="14"/>
  <c r="G23" i="14"/>
  <c r="H23" i="14"/>
  <c r="I23" i="14"/>
  <c r="D24" i="14"/>
  <c r="E24" i="14"/>
  <c r="F24" i="14"/>
  <c r="G24" i="14"/>
  <c r="H24" i="14"/>
  <c r="I24" i="14"/>
  <c r="D26" i="14"/>
  <c r="E26" i="14"/>
  <c r="F26" i="14"/>
  <c r="G26" i="14"/>
  <c r="H26" i="14"/>
  <c r="I26" i="14"/>
  <c r="I25" i="14"/>
  <c r="H25" i="14"/>
  <c r="G25" i="14"/>
  <c r="F25" i="14"/>
  <c r="E25" i="14"/>
  <c r="D25" i="14"/>
  <c r="F87" i="12"/>
  <c r="F92" i="12"/>
  <c r="E87" i="12"/>
  <c r="E92" i="12"/>
  <c r="E49" i="12"/>
  <c r="E50" i="12"/>
  <c r="E53" i="12"/>
  <c r="G45" i="12"/>
  <c r="H86" i="12"/>
  <c r="H87" i="12"/>
  <c r="G82" i="12"/>
  <c r="F83" i="12"/>
  <c r="G86" i="12"/>
  <c r="G87" i="12"/>
  <c r="H82" i="12"/>
  <c r="E84" i="12"/>
  <c r="E85" i="12"/>
  <c r="E88" i="12"/>
  <c r="H51" i="12"/>
  <c r="H52" i="12"/>
  <c r="G47" i="12"/>
  <c r="F48" i="12"/>
  <c r="F49" i="12"/>
  <c r="F50" i="12"/>
  <c r="F53" i="12"/>
  <c r="G48" i="12"/>
  <c r="H48" i="12"/>
  <c r="H49" i="12"/>
  <c r="H50" i="12"/>
  <c r="H53" i="12"/>
  <c r="G51" i="12"/>
  <c r="G52" i="12"/>
  <c r="H47" i="12"/>
  <c r="G49" i="12"/>
  <c r="G50" i="12"/>
  <c r="G53" i="12"/>
  <c r="H17" i="12"/>
  <c r="H18" i="12"/>
  <c r="G13" i="12"/>
  <c r="G14" i="12"/>
  <c r="H14" i="12"/>
  <c r="H15" i="12"/>
  <c r="H16" i="12"/>
  <c r="G17" i="12"/>
  <c r="G18" i="12"/>
  <c r="H13" i="12"/>
  <c r="G15" i="12"/>
  <c r="G16" i="12"/>
  <c r="F23" i="12"/>
  <c r="H91" i="12"/>
  <c r="H92" i="12" s="1"/>
  <c r="H93" i="12"/>
  <c r="F102" i="12"/>
  <c r="H102" i="12"/>
  <c r="G91" i="12"/>
  <c r="G93" i="12"/>
  <c r="E102" i="12"/>
  <c r="G102" i="12"/>
  <c r="E78" i="12"/>
  <c r="E89" i="12" s="1"/>
  <c r="E90" i="12" s="1"/>
  <c r="G78" i="12"/>
  <c r="E77" i="12"/>
  <c r="G77" i="12"/>
  <c r="H56" i="12"/>
  <c r="H58" i="12"/>
  <c r="F67" i="12"/>
  <c r="H67" i="12"/>
  <c r="G56" i="12"/>
  <c r="G57" i="12" s="1"/>
  <c r="G58" i="12"/>
  <c r="E67" i="12"/>
  <c r="G67" i="12"/>
  <c r="E43" i="12"/>
  <c r="G43" i="12"/>
  <c r="E42" i="12"/>
  <c r="G42" i="12"/>
  <c r="H24" i="12"/>
  <c r="G24" i="12"/>
  <c r="G22" i="12"/>
  <c r="E23" i="12"/>
  <c r="E33" i="12"/>
  <c r="H22" i="12"/>
  <c r="F33" i="12"/>
  <c r="H33" i="12"/>
  <c r="G33" i="12"/>
  <c r="E9" i="12"/>
  <c r="G9" i="12"/>
  <c r="E8" i="12"/>
  <c r="G8" i="12"/>
  <c r="D3" i="13"/>
  <c r="G3" i="13"/>
  <c r="D5" i="13"/>
  <c r="E4" i="13"/>
  <c r="D4" i="13"/>
  <c r="D6" i="13" s="1"/>
  <c r="G6" i="13" s="1"/>
  <c r="E9" i="13"/>
  <c r="D10" i="13"/>
  <c r="E10" i="13"/>
  <c r="D9" i="13"/>
  <c r="D11" i="13"/>
  <c r="G11" i="13"/>
  <c r="C10" i="13"/>
  <c r="C9" i="13"/>
  <c r="B9" i="13"/>
  <c r="C8" i="13"/>
  <c r="C4" i="13"/>
  <c r="B4" i="13"/>
  <c r="C5" i="13"/>
  <c r="C3" i="13"/>
  <c r="G92" i="12"/>
  <c r="C29" i="10"/>
  <c r="H57" i="12"/>
  <c r="X33" i="15"/>
  <c r="I25" i="16"/>
  <c r="V22" i="16"/>
  <c r="L22" i="16"/>
  <c r="C22" i="16"/>
  <c r="C26" i="16"/>
  <c r="E3" i="13"/>
  <c r="U22" i="16"/>
  <c r="U33" i="16"/>
  <c r="K22" i="16"/>
  <c r="B22" i="16"/>
  <c r="B33" i="16"/>
  <c r="E34" i="16"/>
  <c r="E36" i="16"/>
  <c r="E22" i="16"/>
  <c r="E26" i="16"/>
  <c r="E35" i="16"/>
  <c r="D16" i="13"/>
  <c r="G16" i="13"/>
  <c r="X34" i="15"/>
  <c r="X36" i="15"/>
  <c r="J22" i="15"/>
  <c r="J26" i="15" s="1"/>
  <c r="J30" i="15"/>
  <c r="R22" i="15"/>
  <c r="W34" i="10"/>
  <c r="W36" i="10"/>
  <c r="P33" i="16"/>
  <c r="R25" i="16"/>
  <c r="M8" i="15"/>
  <c r="M9" i="15"/>
  <c r="M13" i="15"/>
  <c r="M14" i="15"/>
  <c r="U29" i="16"/>
  <c r="K29" i="16"/>
  <c r="B29" i="16"/>
  <c r="C23" i="15"/>
  <c r="C25" i="15"/>
  <c r="C8" i="15"/>
  <c r="K23" i="15"/>
  <c r="K25" i="15"/>
  <c r="M23" i="16"/>
  <c r="M25" i="16"/>
  <c r="M34" i="16"/>
  <c r="M36" i="16"/>
  <c r="P22" i="16"/>
  <c r="P26" i="16"/>
  <c r="V23" i="15"/>
  <c r="V25" i="15"/>
  <c r="V33" i="15"/>
  <c r="V8" i="15"/>
  <c r="V9" i="15"/>
  <c r="V13" i="15"/>
  <c r="V14" i="15"/>
  <c r="L23" i="15"/>
  <c r="L25" i="15"/>
  <c r="L26" i="15"/>
  <c r="L8" i="15"/>
  <c r="L9" i="15"/>
  <c r="L13" i="15"/>
  <c r="L14" i="15"/>
  <c r="AH23" i="10"/>
  <c r="AH25" i="10"/>
  <c r="AH8" i="10"/>
  <c r="AH9" i="10"/>
  <c r="AH13" i="10"/>
  <c r="AH14" i="10"/>
  <c r="Y8" i="10"/>
  <c r="Y9" i="10"/>
  <c r="Y13" i="10"/>
  <c r="Y14" i="10"/>
  <c r="Y23" i="10"/>
  <c r="Y25" i="10"/>
  <c r="N23" i="10"/>
  <c r="N25" i="10"/>
  <c r="N26" i="10" s="1"/>
  <c r="N8" i="10"/>
  <c r="N9" i="10"/>
  <c r="N13" i="10"/>
  <c r="N14" i="10"/>
  <c r="E23" i="10"/>
  <c r="E25" i="10"/>
  <c r="E8" i="10"/>
  <c r="E9" i="10"/>
  <c r="E13" i="10"/>
  <c r="E14" i="10"/>
  <c r="T25" i="15"/>
  <c r="T26" i="15"/>
  <c r="T30" i="15"/>
  <c r="T31" i="15"/>
  <c r="W22" i="15"/>
  <c r="M22" i="15"/>
  <c r="M26" i="15"/>
  <c r="D22" i="15"/>
  <c r="S8" i="16"/>
  <c r="S9" i="16"/>
  <c r="S13" i="16"/>
  <c r="S14" i="16"/>
  <c r="J8" i="16"/>
  <c r="J9" i="16"/>
  <c r="J13" i="16"/>
  <c r="J14" i="16"/>
  <c r="W22" i="10"/>
  <c r="W26" i="10"/>
  <c r="W30" i="10"/>
  <c r="U22" i="10"/>
  <c r="U26" i="10"/>
  <c r="U35" i="10"/>
  <c r="M33" i="10"/>
  <c r="AE22" i="10"/>
  <c r="AE26" i="10"/>
  <c r="AC22" i="10"/>
  <c r="AD33" i="10"/>
  <c r="B9" i="16"/>
  <c r="P8" i="16"/>
  <c r="P9" i="16"/>
  <c r="P13" i="16"/>
  <c r="P14" i="16"/>
  <c r="F8" i="16"/>
  <c r="F9" i="16"/>
  <c r="F13" i="16"/>
  <c r="F14" i="16"/>
  <c r="D34" i="10"/>
  <c r="D36" i="10"/>
  <c r="G13" i="10"/>
  <c r="G14" i="10"/>
  <c r="AC25" i="10"/>
  <c r="AC26" i="10"/>
  <c r="AC35" i="10"/>
  <c r="AC33" i="10"/>
  <c r="AG22" i="10"/>
  <c r="AG26" i="10"/>
  <c r="AG35" i="10"/>
  <c r="AG33" i="10"/>
  <c r="AG34" i="10"/>
  <c r="AG36" i="10"/>
  <c r="K13" i="17"/>
  <c r="L33" i="10"/>
  <c r="L26" i="10"/>
  <c r="L30" i="10"/>
  <c r="L31" i="10"/>
  <c r="L34" i="10"/>
  <c r="L36" i="10"/>
  <c r="S34" i="10"/>
  <c r="S36" i="10"/>
  <c r="S33" i="10"/>
  <c r="U13" i="10"/>
  <c r="U14" i="10"/>
  <c r="AC29" i="10"/>
  <c r="AJ23" i="10"/>
  <c r="AJ25" i="10"/>
  <c r="AJ8" i="10"/>
  <c r="AJ9" i="10"/>
  <c r="AJ13" i="10"/>
  <c r="AJ14" i="10"/>
  <c r="G25" i="10"/>
  <c r="G33" i="10"/>
  <c r="AA34" i="10"/>
  <c r="AA36" i="10"/>
  <c r="AA33" i="10"/>
  <c r="AC13" i="10"/>
  <c r="AC14" i="10"/>
  <c r="AM22" i="10"/>
  <c r="AM26" i="10"/>
  <c r="AM30" i="10"/>
  <c r="AM31" i="10"/>
  <c r="E13" i="13"/>
  <c r="E16" i="13"/>
  <c r="H16" i="13"/>
  <c r="G34" i="10"/>
  <c r="G36" i="10"/>
  <c r="AC34" i="10"/>
  <c r="AC36" i="10"/>
  <c r="P30" i="16"/>
  <c r="P31" i="16"/>
  <c r="P35" i="16"/>
  <c r="AC30" i="10"/>
  <c r="AC31" i="10"/>
  <c r="U30" i="10"/>
  <c r="U31" i="10"/>
  <c r="L34" i="15"/>
  <c r="L36" i="15"/>
  <c r="L33" i="15"/>
  <c r="C9" i="15"/>
  <c r="C35" i="16"/>
  <c r="X30" i="15"/>
  <c r="X31" i="15"/>
  <c r="X35" i="15"/>
  <c r="E30" i="16"/>
  <c r="E31" i="16"/>
  <c r="I33" i="16"/>
  <c r="I34" i="16"/>
  <c r="I36" i="16"/>
  <c r="W31" i="10"/>
  <c r="W35" i="10"/>
  <c r="O35" i="10"/>
  <c r="O30" i="10"/>
  <c r="O31" i="10"/>
  <c r="C26" i="15"/>
  <c r="C30" i="15"/>
  <c r="C31" i="15"/>
  <c r="C34" i="15"/>
  <c r="C36" i="15"/>
  <c r="C33" i="15"/>
  <c r="V34" i="15"/>
  <c r="V36" i="15"/>
  <c r="AH33" i="10"/>
  <c r="AM34" i="10"/>
  <c r="AM36" i="10"/>
  <c r="B13" i="16"/>
  <c r="B14" i="16"/>
  <c r="M35" i="15"/>
  <c r="Y34" i="10"/>
  <c r="Y36" i="10"/>
  <c r="J35" i="15"/>
  <c r="J31" i="15"/>
  <c r="B26" i="16"/>
  <c r="B30" i="16"/>
  <c r="B31" i="16"/>
  <c r="AM35" i="10"/>
  <c r="AH26" i="10"/>
  <c r="L35" i="10"/>
  <c r="J34" i="16"/>
  <c r="J36" i="16"/>
  <c r="J26" i="16"/>
  <c r="J35" i="16"/>
  <c r="R33" i="16"/>
  <c r="R34" i="16"/>
  <c r="R36" i="16"/>
  <c r="T34" i="15"/>
  <c r="T36" i="15"/>
  <c r="T33" i="15"/>
  <c r="S33" i="16"/>
  <c r="S34" i="16"/>
  <c r="S36" i="16"/>
  <c r="S26" i="16"/>
  <c r="S35" i="16"/>
  <c r="I26" i="16"/>
  <c r="H3" i="13"/>
  <c r="R26" i="16"/>
  <c r="R30" i="16"/>
  <c r="R31" i="16"/>
  <c r="R35" i="16"/>
  <c r="J30" i="16"/>
  <c r="J31" i="16"/>
  <c r="AH30" i="10"/>
  <c r="AH31" i="10"/>
  <c r="AH35" i="10"/>
  <c r="I30" i="16"/>
  <c r="I31" i="16"/>
  <c r="I35" i="16"/>
  <c r="C35" i="15"/>
  <c r="C13" i="15"/>
  <c r="C14" i="15"/>
  <c r="I6" i="19"/>
  <c r="L6" i="19" s="1"/>
  <c r="E26" i="10"/>
  <c r="E30" i="10"/>
  <c r="E31" i="10"/>
  <c r="B35" i="16"/>
  <c r="T35" i="15"/>
  <c r="G26" i="10"/>
  <c r="C13" i="10"/>
  <c r="C14" i="10"/>
  <c r="B34" i="16"/>
  <c r="B36" i="16"/>
  <c r="G33" i="16"/>
  <c r="G34" i="16"/>
  <c r="G36" i="16"/>
  <c r="AG30" i="10"/>
  <c r="AG31" i="10"/>
  <c r="G30" i="16"/>
  <c r="G31" i="16"/>
  <c r="Y26" i="10"/>
  <c r="Y33" i="10"/>
  <c r="M26" i="16"/>
  <c r="M33" i="16"/>
  <c r="AA30" i="10"/>
  <c r="AA31" i="10"/>
  <c r="AA35" i="10"/>
  <c r="E22" i="15"/>
  <c r="E33" i="15"/>
  <c r="E34" i="15"/>
  <c r="E36" i="15"/>
  <c r="S29" i="16"/>
  <c r="S30" i="16"/>
  <c r="S31" i="16"/>
  <c r="W25" i="16"/>
  <c r="W26" i="16"/>
  <c r="D22" i="16"/>
  <c r="Q22" i="16"/>
  <c r="Q26" i="16"/>
  <c r="Q35" i="16"/>
  <c r="Q34" i="16"/>
  <c r="Q36" i="16"/>
  <c r="Q33" i="16"/>
  <c r="Z26" i="10"/>
  <c r="AJ29" i="10"/>
  <c r="O34" i="15"/>
  <c r="O36" i="15"/>
  <c r="O33" i="15"/>
  <c r="P34" i="16"/>
  <c r="P36" i="16"/>
  <c r="F34" i="16"/>
  <c r="F36" i="16"/>
  <c r="N8" i="16"/>
  <c r="N9" i="16"/>
  <c r="N13" i="16"/>
  <c r="N14" i="16"/>
  <c r="N23" i="16"/>
  <c r="N25" i="16"/>
  <c r="G23" i="12"/>
  <c r="G19" i="12"/>
  <c r="G20" i="12"/>
  <c r="G21" i="12"/>
  <c r="J34" i="15"/>
  <c r="J36" i="15"/>
  <c r="F33" i="15"/>
  <c r="F34" i="15"/>
  <c r="F36" i="15"/>
  <c r="D13" i="15"/>
  <c r="D14" i="15"/>
  <c r="V23" i="16"/>
  <c r="V25" i="16"/>
  <c r="V34" i="16"/>
  <c r="V36" i="16"/>
  <c r="V8" i="16"/>
  <c r="V9" i="16"/>
  <c r="V13" i="16"/>
  <c r="V14" i="16"/>
  <c r="J26" i="10"/>
  <c r="Z33" i="10"/>
  <c r="Z34" i="10"/>
  <c r="Z36" i="10"/>
  <c r="AL33" i="10"/>
  <c r="AL34" i="10"/>
  <c r="AL36" i="10"/>
  <c r="AL22" i="10"/>
  <c r="AL26" i="10"/>
  <c r="W13" i="15"/>
  <c r="W14" i="15"/>
  <c r="J34" i="10"/>
  <c r="J36" i="10"/>
  <c r="AK26" i="10"/>
  <c r="AK30" i="10"/>
  <c r="AK31" i="10"/>
  <c r="Q26" i="10"/>
  <c r="O26" i="15"/>
  <c r="M33" i="15"/>
  <c r="D33" i="15"/>
  <c r="I13" i="16"/>
  <c r="I14" i="16"/>
  <c r="Q33" i="10"/>
  <c r="V33" i="10"/>
  <c r="R25" i="15"/>
  <c r="R34" i="15"/>
  <c r="F26" i="15"/>
  <c r="S22" i="15"/>
  <c r="S26" i="15"/>
  <c r="S30" i="15"/>
  <c r="S31" i="15"/>
  <c r="L29" i="16"/>
  <c r="R13" i="16"/>
  <c r="R14" i="16"/>
  <c r="F22" i="10"/>
  <c r="T13" i="10"/>
  <c r="T14" i="10"/>
  <c r="F25" i="10"/>
  <c r="F34" i="10"/>
  <c r="F36" i="10"/>
  <c r="L8" i="1"/>
  <c r="M8" i="1" s="1"/>
  <c r="O8" i="1" s="1"/>
  <c r="J45" i="1" s="1"/>
  <c r="Q34" i="10"/>
  <c r="Q36" i="10"/>
  <c r="I22" i="10"/>
  <c r="V34" i="10"/>
  <c r="V36" i="10"/>
  <c r="J30" i="10"/>
  <c r="J31" i="10"/>
  <c r="J35" i="10"/>
  <c r="Q30" i="10"/>
  <c r="Q31" i="10"/>
  <c r="Q35" i="10"/>
  <c r="R36" i="15"/>
  <c r="E35" i="10"/>
  <c r="O35" i="15"/>
  <c r="O30" i="15"/>
  <c r="O31" i="15"/>
  <c r="Z30" i="10"/>
  <c r="Z31" i="10"/>
  <c r="Z35" i="10"/>
  <c r="W34" i="16"/>
  <c r="W36" i="16"/>
  <c r="W33" i="16"/>
  <c r="G30" i="10"/>
  <c r="G31" i="10"/>
  <c r="G35" i="10"/>
  <c r="F30" i="15"/>
  <c r="F31" i="15"/>
  <c r="F35" i="15"/>
  <c r="V33" i="16"/>
  <c r="V26" i="16"/>
  <c r="V35" i="16"/>
  <c r="N34" i="16"/>
  <c r="N36" i="16"/>
  <c r="M35" i="16"/>
  <c r="M30" i="16"/>
  <c r="M31" i="16"/>
  <c r="R33" i="15"/>
  <c r="Y35" i="10"/>
  <c r="Y30" i="10"/>
  <c r="Y31" i="10"/>
  <c r="F26" i="10"/>
  <c r="W35" i="16"/>
  <c r="W30" i="16"/>
  <c r="W31" i="16"/>
  <c r="Q30" i="16"/>
  <c r="Q31" i="16"/>
  <c r="F30" i="10"/>
  <c r="F31" i="10"/>
  <c r="F35" i="10"/>
  <c r="H23" i="15"/>
  <c r="H25" i="15"/>
  <c r="H8" i="15"/>
  <c r="AK35" i="10"/>
  <c r="V30" i="16"/>
  <c r="V31" i="16"/>
  <c r="K34" i="15"/>
  <c r="K36" i="15"/>
  <c r="K33" i="15"/>
  <c r="S35" i="15"/>
  <c r="AL35" i="10"/>
  <c r="AL30" i="10"/>
  <c r="AL31" i="10"/>
  <c r="N30" i="15"/>
  <c r="N31" i="15"/>
  <c r="N35" i="15"/>
  <c r="Z28" i="15"/>
  <c r="L29" i="15"/>
  <c r="L30" i="15"/>
  <c r="L31" i="15"/>
  <c r="S34" i="15"/>
  <c r="S36" i="15"/>
  <c r="S33" i="15"/>
  <c r="Q13" i="15"/>
  <c r="Q14" i="15"/>
  <c r="N35" i="10"/>
  <c r="N30" i="10"/>
  <c r="N31" i="10"/>
  <c r="N33" i="10"/>
  <c r="N34" i="10"/>
  <c r="N36" i="10"/>
  <c r="S30" i="10"/>
  <c r="S31" i="10"/>
  <c r="S35" i="10"/>
  <c r="E33" i="10"/>
  <c r="E34" i="10"/>
  <c r="E36" i="10"/>
  <c r="N33" i="16"/>
  <c r="N26" i="16"/>
  <c r="AJ26" i="10"/>
  <c r="AJ34" i="10"/>
  <c r="AJ36" i="10"/>
  <c r="AJ33" i="10"/>
  <c r="AE30" i="10"/>
  <c r="AE31" i="10"/>
  <c r="AE35" i="10"/>
  <c r="F33" i="10"/>
  <c r="L35" i="15"/>
  <c r="H23" i="12"/>
  <c r="H19" i="12"/>
  <c r="H20" i="12"/>
  <c r="H21" i="12"/>
  <c r="V26" i="15"/>
  <c r="C33" i="10"/>
  <c r="C34" i="10"/>
  <c r="C36" i="10"/>
  <c r="N34" i="15"/>
  <c r="N36" i="15"/>
  <c r="N33" i="15"/>
  <c r="X13" i="15"/>
  <c r="X14" i="15"/>
  <c r="G13" i="15"/>
  <c r="G14" i="15"/>
  <c r="F22" i="16"/>
  <c r="F33" i="16"/>
  <c r="E20" i="12"/>
  <c r="E21" i="12"/>
  <c r="M26" i="10"/>
  <c r="J13" i="10"/>
  <c r="J14" i="10"/>
  <c r="U36" i="10"/>
  <c r="R26" i="15"/>
  <c r="E26" i="15"/>
  <c r="C35" i="10"/>
  <c r="C30" i="10"/>
  <c r="C31" i="10"/>
  <c r="D34" i="15"/>
  <c r="D36" i="15"/>
  <c r="D26" i="15"/>
  <c r="Q33" i="15"/>
  <c r="Q34" i="15"/>
  <c r="Q36" i="15"/>
  <c r="G34" i="15"/>
  <c r="G36" i="15"/>
  <c r="G22" i="15"/>
  <c r="G26" i="15"/>
  <c r="G33" i="15"/>
  <c r="U34" i="16"/>
  <c r="U36" i="16"/>
  <c r="U26" i="16"/>
  <c r="AH34" i="10"/>
  <c r="AH36" i="10"/>
  <c r="F84" i="12"/>
  <c r="F85" i="12"/>
  <c r="F88" i="12"/>
  <c r="F89" i="12"/>
  <c r="F90" i="12"/>
  <c r="G83" i="12"/>
  <c r="K26" i="15"/>
  <c r="K23" i="16"/>
  <c r="K25" i="16"/>
  <c r="K33" i="16"/>
  <c r="K8" i="16"/>
  <c r="K9" i="16"/>
  <c r="K13" i="16"/>
  <c r="K14" i="16"/>
  <c r="D23" i="16"/>
  <c r="D25" i="16"/>
  <c r="D8" i="16"/>
  <c r="AD34" i="10"/>
  <c r="AD36" i="10"/>
  <c r="AD22" i="10"/>
  <c r="AD26" i="10"/>
  <c r="Q22" i="15"/>
  <c r="Q26" i="15"/>
  <c r="M11" i="17"/>
  <c r="M13" i="17"/>
  <c r="N13" i="17"/>
  <c r="H22" i="15"/>
  <c r="H26" i="15"/>
  <c r="H34" i="15"/>
  <c r="H36" i="15"/>
  <c r="W25" i="15"/>
  <c r="W26" i="15"/>
  <c r="F20" i="12"/>
  <c r="F21" i="12"/>
  <c r="V22" i="10"/>
  <c r="V26" i="10"/>
  <c r="AI25" i="10"/>
  <c r="C34" i="16"/>
  <c r="C36" i="16"/>
  <c r="C33" i="16"/>
  <c r="D33" i="10"/>
  <c r="D22" i="10"/>
  <c r="AO28" i="10"/>
  <c r="U33" i="10"/>
  <c r="AI22" i="10"/>
  <c r="AI26" i="10"/>
  <c r="AK34" i="10"/>
  <c r="AK36" i="10"/>
  <c r="AK33" i="10"/>
  <c r="AB8" i="10"/>
  <c r="AB9" i="10"/>
  <c r="AB13" i="10"/>
  <c r="AB14" i="10"/>
  <c r="AB23" i="10"/>
  <c r="AB25" i="10"/>
  <c r="AB26" i="10"/>
  <c r="R23" i="10"/>
  <c r="R25" i="10"/>
  <c r="R8" i="10"/>
  <c r="R9" i="10"/>
  <c r="R13" i="10"/>
  <c r="R14" i="10"/>
  <c r="I8" i="10"/>
  <c r="I23" i="10"/>
  <c r="I25" i="10"/>
  <c r="G5" i="13"/>
  <c r="K23" i="10"/>
  <c r="K25" i="10"/>
  <c r="T23" i="10"/>
  <c r="T25" i="10"/>
  <c r="E5" i="13"/>
  <c r="L23" i="16"/>
  <c r="L25" i="16"/>
  <c r="W35" i="15"/>
  <c r="W30" i="15"/>
  <c r="W31" i="15"/>
  <c r="AB30" i="10"/>
  <c r="AB31" i="10"/>
  <c r="AB35" i="10"/>
  <c r="L33" i="16"/>
  <c r="L34" i="16"/>
  <c r="L36" i="16"/>
  <c r="L26" i="16"/>
  <c r="D9" i="16"/>
  <c r="AC8" i="16"/>
  <c r="U30" i="16"/>
  <c r="U31" i="16"/>
  <c r="U35" i="16"/>
  <c r="H9" i="15"/>
  <c r="Z8" i="15"/>
  <c r="I9" i="10"/>
  <c r="AO8" i="10"/>
  <c r="F26" i="16"/>
  <c r="AC22" i="16"/>
  <c r="H33" i="15"/>
  <c r="Z25" i="15"/>
  <c r="V35" i="10"/>
  <c r="V30" i="10"/>
  <c r="V31" i="10"/>
  <c r="Q30" i="15"/>
  <c r="Q31" i="15"/>
  <c r="Q35" i="15"/>
  <c r="G35" i="15"/>
  <c r="G30" i="15"/>
  <c r="G31" i="15"/>
  <c r="E30" i="15"/>
  <c r="E31" i="15"/>
  <c r="E35" i="15"/>
  <c r="AJ30" i="10"/>
  <c r="AJ31" i="10"/>
  <c r="AJ35" i="10"/>
  <c r="K26" i="16"/>
  <c r="AI30" i="10"/>
  <c r="AI31" i="10"/>
  <c r="AI35" i="10"/>
  <c r="H5" i="13"/>
  <c r="E6" i="13"/>
  <c r="H6" i="13"/>
  <c r="R33" i="10"/>
  <c r="R34" i="10"/>
  <c r="R36" i="10"/>
  <c r="R26" i="10"/>
  <c r="D26" i="10"/>
  <c r="AO22" i="10"/>
  <c r="K30" i="15"/>
  <c r="K31" i="15"/>
  <c r="K35" i="15"/>
  <c r="R30" i="15"/>
  <c r="R31" i="15"/>
  <c r="R35" i="15"/>
  <c r="N30" i="16"/>
  <c r="N31" i="16"/>
  <c r="N35" i="16"/>
  <c r="I34" i="10"/>
  <c r="I36" i="10"/>
  <c r="I33" i="10"/>
  <c r="AB34" i="10"/>
  <c r="AB36" i="10"/>
  <c r="AB33" i="10"/>
  <c r="K34" i="10"/>
  <c r="K36" i="10"/>
  <c r="K33" i="10"/>
  <c r="K26" i="10"/>
  <c r="K34" i="16"/>
  <c r="K36" i="16"/>
  <c r="I26" i="10"/>
  <c r="D26" i="16"/>
  <c r="D33" i="16"/>
  <c r="D34" i="16"/>
  <c r="D36" i="16"/>
  <c r="AC36" i="16"/>
  <c r="AC25" i="16"/>
  <c r="V35" i="15"/>
  <c r="V30" i="15"/>
  <c r="V31" i="15"/>
  <c r="T34" i="10"/>
  <c r="T36" i="10"/>
  <c r="T33" i="10"/>
  <c r="T26" i="10"/>
  <c r="W33" i="15"/>
  <c r="W34" i="15"/>
  <c r="W36" i="15"/>
  <c r="G84" i="12"/>
  <c r="G85" i="12"/>
  <c r="H83" i="12"/>
  <c r="H84" i="12"/>
  <c r="H85" i="12"/>
  <c r="AD30" i="10"/>
  <c r="AD31" i="10"/>
  <c r="AD35" i="10"/>
  <c r="H35" i="15"/>
  <c r="H30" i="15"/>
  <c r="H31" i="15"/>
  <c r="D30" i="15"/>
  <c r="D31" i="15"/>
  <c r="Z26" i="15"/>
  <c r="D35" i="15"/>
  <c r="M35" i="10"/>
  <c r="Z22" i="15"/>
  <c r="F30" i="16"/>
  <c r="F31" i="16"/>
  <c r="F35" i="16"/>
  <c r="K35" i="10"/>
  <c r="K30" i="10"/>
  <c r="K31" i="10"/>
  <c r="T35" i="10"/>
  <c r="T30" i="10"/>
  <c r="T31" i="10"/>
  <c r="AC26" i="16"/>
  <c r="D30" i="16"/>
  <c r="D31" i="16"/>
  <c r="D35" i="16"/>
  <c r="D35" i="10"/>
  <c r="D30" i="10"/>
  <c r="D31" i="10"/>
  <c r="AO26" i="10"/>
  <c r="K35" i="16"/>
  <c r="K30" i="16"/>
  <c r="K31" i="16"/>
  <c r="I13" i="10"/>
  <c r="I14" i="10"/>
  <c r="AO9" i="10"/>
  <c r="R35" i="10"/>
  <c r="R30" i="10"/>
  <c r="R31" i="10"/>
  <c r="H13" i="15"/>
  <c r="H14" i="15"/>
  <c r="Z9" i="15"/>
  <c r="D13" i="16"/>
  <c r="D14" i="16"/>
  <c r="AC9" i="16"/>
  <c r="Z35" i="15"/>
  <c r="H88" i="12"/>
  <c r="H89" i="12"/>
  <c r="H90" i="12"/>
  <c r="L35" i="16"/>
  <c r="L30" i="16"/>
  <c r="L31" i="16"/>
  <c r="G88" i="12"/>
  <c r="G89" i="12"/>
  <c r="G90" i="12"/>
  <c r="I30" i="10"/>
  <c r="I31" i="10"/>
  <c r="I35" i="10"/>
  <c r="AO35" i="10"/>
  <c r="H94" i="12"/>
  <c r="G34" i="12"/>
  <c r="H68" i="12"/>
  <c r="F8" i="6"/>
  <c r="D8" i="6"/>
  <c r="I7" i="18"/>
  <c r="M7" i="18"/>
  <c r="F95" i="12"/>
  <c r="B25" i="6"/>
  <c r="J8" i="18"/>
  <c r="E9" i="6"/>
  <c r="G7" i="6"/>
  <c r="C7" i="18"/>
  <c r="I10" i="18"/>
  <c r="B23" i="6"/>
  <c r="G8" i="18"/>
  <c r="F6" i="6"/>
  <c r="G9" i="6"/>
  <c r="G26" i="12"/>
  <c r="F34" i="12"/>
  <c r="F68" i="12"/>
  <c r="G10" i="18"/>
  <c r="E95" i="12"/>
  <c r="J9" i="6"/>
  <c r="G31" i="12"/>
  <c r="N10" i="18"/>
  <c r="G103" i="12"/>
  <c r="C9" i="18"/>
  <c r="B27" i="6"/>
  <c r="E10" i="6"/>
  <c r="J10" i="6"/>
  <c r="M9" i="6"/>
  <c r="D7" i="6"/>
  <c r="R43" i="1"/>
  <c r="D6" i="6"/>
  <c r="I6" i="18"/>
  <c r="D10" i="6"/>
  <c r="C10" i="18"/>
  <c r="E7" i="18"/>
  <c r="E6" i="18"/>
  <c r="J10" i="18"/>
  <c r="M9" i="18"/>
  <c r="H100" i="12"/>
  <c r="J6" i="18"/>
  <c r="M6" i="18"/>
  <c r="H25" i="12"/>
  <c r="E9" i="18"/>
  <c r="F10" i="18"/>
  <c r="C9" i="6"/>
  <c r="F8" i="18"/>
  <c r="H31" i="12"/>
  <c r="E10" i="18"/>
  <c r="E100" i="12"/>
  <c r="O43" i="1"/>
  <c r="F59" i="12"/>
  <c r="F100" i="12"/>
  <c r="D9" i="6"/>
  <c r="F65" i="12"/>
  <c r="D10" i="18"/>
  <c r="R44" i="1"/>
  <c r="E26" i="12"/>
  <c r="C8" i="6"/>
  <c r="F60" i="12"/>
  <c r="F7" i="18"/>
  <c r="O44" i="1"/>
  <c r="F10" i="6"/>
  <c r="G9" i="18"/>
  <c r="E103" i="12"/>
  <c r="N8" i="6"/>
  <c r="F7" i="6"/>
  <c r="E8" i="6"/>
  <c r="O45" i="1"/>
  <c r="E68" i="12"/>
  <c r="G95" i="12"/>
  <c r="E6" i="6"/>
  <c r="M10" i="6"/>
  <c r="H34" i="12"/>
  <c r="F26" i="12"/>
  <c r="N6" i="18"/>
  <c r="H95" i="12"/>
  <c r="J6" i="6"/>
  <c r="M8" i="6"/>
  <c r="G6" i="18"/>
  <c r="I9" i="18"/>
  <c r="F103" i="12"/>
  <c r="C10" i="6"/>
  <c r="H59" i="12"/>
  <c r="N6" i="6"/>
  <c r="F9" i="18"/>
  <c r="E8" i="18"/>
  <c r="H26" i="12"/>
  <c r="F31" i="12"/>
  <c r="C6" i="6"/>
  <c r="E59" i="12"/>
  <c r="I6" i="6"/>
  <c r="D8" i="18"/>
  <c r="G60" i="12"/>
  <c r="I7" i="6"/>
  <c r="G7" i="18"/>
  <c r="G8" i="6"/>
  <c r="E7" i="6"/>
  <c r="H60" i="12"/>
  <c r="N8" i="18"/>
  <c r="N7" i="18"/>
  <c r="N9" i="6"/>
  <c r="B26" i="6"/>
  <c r="J9" i="18"/>
  <c r="J8" i="6"/>
  <c r="I10" i="6"/>
  <c r="F6" i="18"/>
  <c r="F9" i="6"/>
  <c r="M10" i="18"/>
  <c r="E25" i="12"/>
  <c r="I9" i="6"/>
  <c r="G25" i="12"/>
  <c r="E94" i="12"/>
  <c r="M7" i="6"/>
  <c r="G68" i="12"/>
  <c r="F94" i="12"/>
  <c r="G10" i="6"/>
  <c r="M8" i="18"/>
  <c r="G65" i="12"/>
  <c r="B24" i="6"/>
  <c r="E31" i="12"/>
  <c r="H103" i="12"/>
  <c r="M6" i="6"/>
  <c r="J7" i="6"/>
  <c r="E65" i="12"/>
  <c r="R45" i="1"/>
  <c r="N9" i="18"/>
  <c r="N7" i="6"/>
  <c r="D7" i="18"/>
  <c r="G6" i="6"/>
  <c r="I8" i="18"/>
  <c r="E34" i="12"/>
  <c r="D6" i="18"/>
  <c r="C6" i="18"/>
  <c r="F25" i="12"/>
  <c r="J7" i="18"/>
  <c r="C7" i="6"/>
  <c r="G100" i="12"/>
  <c r="E60" i="12"/>
  <c r="D9" i="18"/>
  <c r="G94" i="12"/>
  <c r="C8" i="18"/>
  <c r="I8" i="6"/>
  <c r="H65" i="12"/>
  <c r="N10" i="6"/>
  <c r="G59" i="12"/>
  <c r="C27" i="1"/>
  <c r="C26" i="1"/>
  <c r="F27" i="1"/>
  <c r="F26" i="1"/>
  <c r="C25" i="1"/>
  <c r="O27" i="19" l="1"/>
  <c r="P27" i="19" s="1"/>
  <c r="G25" i="1"/>
  <c r="G26" i="1"/>
  <c r="G27" i="1"/>
  <c r="L26" i="1"/>
  <c r="L27" i="1"/>
  <c r="L25" i="1"/>
  <c r="M25" i="1" s="1"/>
  <c r="J43" i="1"/>
  <c r="L43" i="1" s="1"/>
  <c r="B45" i="1"/>
  <c r="B44" i="1"/>
  <c r="J44" i="1"/>
  <c r="L44" i="1" s="1"/>
  <c r="J26" i="1"/>
  <c r="B43" i="1"/>
  <c r="J27" i="1"/>
  <c r="O26" i="19"/>
  <c r="P26" i="19" s="1"/>
  <c r="M25" i="19"/>
  <c r="O25" i="19" s="1"/>
  <c r="P25" i="19" s="1"/>
  <c r="N25" i="18"/>
  <c r="O25" i="18" s="1"/>
  <c r="N23" i="18"/>
  <c r="O23" i="18" s="1"/>
  <c r="N24" i="18"/>
  <c r="O24" i="18" s="1"/>
  <c r="N27" i="18"/>
  <c r="O27" i="18" s="1"/>
  <c r="N26" i="18"/>
  <c r="O26" i="18" s="1"/>
  <c r="O24" i="19"/>
  <c r="Q24" i="19" s="1"/>
  <c r="AO25" i="10"/>
  <c r="AI33" i="10"/>
  <c r="AI34" i="10"/>
  <c r="AI36" i="10" s="1"/>
  <c r="E11" i="13"/>
  <c r="H11" i="13" s="1"/>
  <c r="H54" i="12"/>
  <c r="H55" i="12" s="1"/>
  <c r="G54" i="12"/>
  <c r="G55" i="12" s="1"/>
  <c r="E54" i="12"/>
  <c r="E55" i="12" s="1"/>
  <c r="F54" i="12"/>
  <c r="F55" i="12" s="1"/>
  <c r="M36" i="15"/>
  <c r="Z36" i="15" s="1"/>
  <c r="M29" i="15"/>
  <c r="M30" i="15" s="1"/>
  <c r="M31" i="15" s="1"/>
  <c r="J33" i="15"/>
  <c r="C29" i="16"/>
  <c r="C30" i="16" s="1"/>
  <c r="C31" i="16" s="1"/>
  <c r="AC28" i="16"/>
  <c r="G35" i="16"/>
  <c r="AC35" i="16" s="1"/>
  <c r="J33" i="16"/>
  <c r="M36" i="10"/>
  <c r="M29" i="10"/>
  <c r="M30" i="10" s="1"/>
  <c r="M31" i="10" s="1"/>
  <c r="O34" i="10"/>
  <c r="O36" i="10" s="1"/>
  <c r="AE33" i="10"/>
  <c r="AE34" i="10"/>
  <c r="AE36" i="10" s="1"/>
  <c r="AM33" i="10"/>
  <c r="H8" i="18"/>
  <c r="K8" i="18" s="1"/>
  <c r="E61" i="12"/>
  <c r="L45" i="1"/>
  <c r="H7" i="6"/>
  <c r="K7" i="6" s="1"/>
  <c r="H6" i="18"/>
  <c r="K6" i="18" s="1"/>
  <c r="D24" i="6"/>
  <c r="L24" i="6" s="1"/>
  <c r="C24" i="6"/>
  <c r="K24" i="6" s="1"/>
  <c r="I7" i="19"/>
  <c r="I8" i="19"/>
  <c r="D26" i="6"/>
  <c r="L26" i="6" s="1"/>
  <c r="C26" i="6"/>
  <c r="K26" i="6" s="1"/>
  <c r="H61" i="12"/>
  <c r="G61" i="12"/>
  <c r="I9" i="19"/>
  <c r="M9" i="19" s="1"/>
  <c r="H6" i="6"/>
  <c r="K6" i="6" s="1"/>
  <c r="H27" i="12"/>
  <c r="H10" i="6"/>
  <c r="K10" i="6" s="1"/>
  <c r="H96" i="12"/>
  <c r="F27" i="12"/>
  <c r="G96" i="12"/>
  <c r="F61" i="12"/>
  <c r="H8" i="6"/>
  <c r="K8" i="6" s="1"/>
  <c r="E27" i="12"/>
  <c r="H9" i="6"/>
  <c r="K9" i="6" s="1"/>
  <c r="H10" i="18"/>
  <c r="L10" i="18" s="1"/>
  <c r="D27" i="6"/>
  <c r="L27" i="6" s="1"/>
  <c r="C27" i="6"/>
  <c r="K27" i="6" s="1"/>
  <c r="H9" i="18"/>
  <c r="L9" i="18" s="1"/>
  <c r="E96" i="12"/>
  <c r="G27" i="12"/>
  <c r="I10" i="19"/>
  <c r="L10" i="19" s="1"/>
  <c r="C23" i="6"/>
  <c r="K23" i="6" s="1"/>
  <c r="D23" i="6"/>
  <c r="L23" i="6" s="1"/>
  <c r="H7" i="18"/>
  <c r="K7" i="18" s="1"/>
  <c r="M6" i="19"/>
  <c r="D25" i="6"/>
  <c r="L25" i="6" s="1"/>
  <c r="C25" i="6"/>
  <c r="K25" i="6" s="1"/>
  <c r="F96" i="12"/>
  <c r="H66" i="12"/>
  <c r="F66" i="12"/>
  <c r="H101" i="12"/>
  <c r="H32" i="12"/>
  <c r="G101" i="12"/>
  <c r="E32" i="12"/>
  <c r="G66" i="12"/>
  <c r="F101" i="12"/>
  <c r="F32" i="12"/>
  <c r="E66" i="12"/>
  <c r="E101" i="12"/>
  <c r="G32" i="12"/>
  <c r="M27" i="1" l="1"/>
  <c r="M26" i="1"/>
  <c r="P24" i="19"/>
  <c r="H43" i="1"/>
  <c r="Q44" i="1"/>
  <c r="S44" i="1" s="1"/>
  <c r="P26" i="1"/>
  <c r="O26" i="1"/>
  <c r="Q45" i="1"/>
  <c r="S45" i="1" s="1"/>
  <c r="P27" i="1"/>
  <c r="Q27" i="1" s="1"/>
  <c r="O27" i="1"/>
  <c r="P25" i="1"/>
  <c r="Q25" i="1" s="1"/>
  <c r="O25" i="1"/>
  <c r="Q43" i="1"/>
  <c r="S43" i="1" s="1"/>
  <c r="R27" i="1"/>
  <c r="S27" i="1"/>
  <c r="R25" i="1"/>
  <c r="S25" i="1"/>
  <c r="M7" i="19"/>
  <c r="L7" i="19"/>
  <c r="L10" i="6"/>
  <c r="M25" i="6"/>
  <c r="N25" i="6" s="1"/>
  <c r="L8" i="18"/>
  <c r="L8" i="19"/>
  <c r="M8" i="19"/>
  <c r="AO36" i="10"/>
  <c r="L9" i="19"/>
  <c r="L6" i="18"/>
  <c r="L6" i="6"/>
  <c r="K9" i="18"/>
  <c r="M10" i="19"/>
  <c r="K10" i="18"/>
  <c r="L8" i="6"/>
  <c r="N25" i="1"/>
  <c r="N27" i="1"/>
  <c r="H99" i="12"/>
  <c r="H104" i="12" s="1"/>
  <c r="H97" i="12"/>
  <c r="H98" i="12" s="1"/>
  <c r="L7" i="18"/>
  <c r="H64" i="12"/>
  <c r="H69" i="12" s="1"/>
  <c r="H62" i="12"/>
  <c r="H63" i="12" s="1"/>
  <c r="L7" i="6"/>
  <c r="M23" i="6"/>
  <c r="N23" i="6" s="1"/>
  <c r="F62" i="12"/>
  <c r="F63" i="12" s="1"/>
  <c r="F64" i="12"/>
  <c r="F69" i="12" s="1"/>
  <c r="H30" i="12"/>
  <c r="H35" i="12" s="1"/>
  <c r="H28" i="12"/>
  <c r="H29" i="12" s="1"/>
  <c r="M26" i="6"/>
  <c r="N26" i="6" s="1"/>
  <c r="E64" i="12"/>
  <c r="E69" i="12" s="1"/>
  <c r="E62" i="12"/>
  <c r="E63" i="12" s="1"/>
  <c r="G28" i="12"/>
  <c r="G29" i="12" s="1"/>
  <c r="G30" i="12"/>
  <c r="G35" i="12" s="1"/>
  <c r="F99" i="12"/>
  <c r="F104" i="12" s="1"/>
  <c r="F97" i="12"/>
  <c r="F98" i="12" s="1"/>
  <c r="G97" i="12"/>
  <c r="G98" i="12" s="1"/>
  <c r="G99" i="12"/>
  <c r="G104" i="12" s="1"/>
  <c r="G64" i="12"/>
  <c r="G69" i="12" s="1"/>
  <c r="G62" i="12"/>
  <c r="G63" i="12" s="1"/>
  <c r="E28" i="12"/>
  <c r="E29" i="12" s="1"/>
  <c r="E30" i="12"/>
  <c r="E35" i="12" s="1"/>
  <c r="E97" i="12"/>
  <c r="E98" i="12" s="1"/>
  <c r="E99" i="12"/>
  <c r="E104" i="12" s="1"/>
  <c r="L9" i="6"/>
  <c r="M27" i="6"/>
  <c r="N27" i="6" s="1"/>
  <c r="F30" i="12"/>
  <c r="F35" i="12" s="1"/>
  <c r="F28" i="12"/>
  <c r="F29" i="12" s="1"/>
  <c r="M24" i="6"/>
  <c r="N24" i="6" s="1"/>
  <c r="Q26" i="1" l="1"/>
  <c r="S26" i="1"/>
  <c r="R26" i="1"/>
  <c r="N26" i="1"/>
  <c r="I43" i="1"/>
  <c r="N43" i="1"/>
  <c r="P43" i="1" s="1"/>
  <c r="G44" i="1"/>
  <c r="I44" i="1" s="1"/>
  <c r="N44" i="1"/>
  <c r="P44" i="1" s="1"/>
  <c r="N45" i="1"/>
  <c r="P45" i="1" s="1"/>
  <c r="G45" i="1"/>
  <c r="I45" i="1" s="1"/>
</calcChain>
</file>

<file path=xl/sharedStrings.xml><?xml version="1.0" encoding="utf-8"?>
<sst xmlns="http://schemas.openxmlformats.org/spreadsheetml/2006/main" count="1586" uniqueCount="884">
  <si>
    <t>μ</t>
    <phoneticPr fontId="2"/>
  </si>
  <si>
    <t>σｅ</t>
    <phoneticPr fontId="2"/>
  </si>
  <si>
    <t>(m)</t>
    <phoneticPr fontId="2"/>
  </si>
  <si>
    <t>Ｄ</t>
    <phoneticPr fontId="2"/>
  </si>
  <si>
    <t>Ｌ</t>
    <phoneticPr fontId="2"/>
  </si>
  <si>
    <t>A</t>
    <phoneticPr fontId="2"/>
  </si>
  <si>
    <t>I</t>
    <phoneticPr fontId="2"/>
  </si>
  <si>
    <t>Z</t>
    <phoneticPr fontId="2"/>
  </si>
  <si>
    <t>B</t>
    <phoneticPr fontId="2"/>
  </si>
  <si>
    <t>N</t>
    <phoneticPr fontId="2"/>
  </si>
  <si>
    <t>Eo</t>
    <phoneticPr fontId="2"/>
  </si>
  <si>
    <t>Kh</t>
    <phoneticPr fontId="2"/>
  </si>
  <si>
    <t>E</t>
    <phoneticPr fontId="2"/>
  </si>
  <si>
    <t>β</t>
    <phoneticPr fontId="2"/>
  </si>
  <si>
    <t>ＬｏｒＳ</t>
    <phoneticPr fontId="2"/>
  </si>
  <si>
    <t>Ｍｏ</t>
    <phoneticPr fontId="2"/>
  </si>
  <si>
    <t>Mmax</t>
    <phoneticPr fontId="2"/>
  </si>
  <si>
    <t>yo</t>
    <phoneticPr fontId="2"/>
  </si>
  <si>
    <t>Lm</t>
    <phoneticPr fontId="2"/>
  </si>
  <si>
    <t>Lo</t>
    <phoneticPr fontId="2"/>
  </si>
  <si>
    <t>Q</t>
    <phoneticPr fontId="2"/>
  </si>
  <si>
    <t>Qa</t>
    <phoneticPr fontId="2"/>
  </si>
  <si>
    <t>Q</t>
    <phoneticPr fontId="2"/>
  </si>
  <si>
    <t>ΣQ：</t>
    <phoneticPr fontId="2"/>
  </si>
  <si>
    <t>（m)</t>
    <phoneticPr fontId="2"/>
  </si>
  <si>
    <t>ΣＱ＝Ｑ１＋Ｑ２</t>
    <phoneticPr fontId="2"/>
  </si>
  <si>
    <t>ｎ：</t>
    <phoneticPr fontId="2"/>
  </si>
  <si>
    <t>Ｋ≧０．１（１－Ｈ／４０）Ｚ</t>
    <phoneticPr fontId="2"/>
  </si>
  <si>
    <t>ΣQ/n：</t>
    <phoneticPr fontId="2"/>
  </si>
  <si>
    <t>Mo</t>
    <phoneticPr fontId="2"/>
  </si>
  <si>
    <t>Ma</t>
    <phoneticPr fontId="2"/>
  </si>
  <si>
    <t>Ｌ：</t>
    <phoneticPr fontId="2"/>
  </si>
  <si>
    <t>N：</t>
    <phoneticPr fontId="2"/>
  </si>
  <si>
    <t>φ：</t>
    <phoneticPr fontId="2"/>
  </si>
  <si>
    <t>Ls：</t>
    <phoneticPr fontId="2"/>
  </si>
  <si>
    <t>(m)</t>
    <phoneticPr fontId="2"/>
  </si>
  <si>
    <t>Aｐ：</t>
    <phoneticPr fontId="2"/>
  </si>
  <si>
    <t>Ns：</t>
    <phoneticPr fontId="2"/>
  </si>
  <si>
    <t>SＲa：</t>
    <phoneticPr fontId="2"/>
  </si>
  <si>
    <t>Lc：</t>
    <phoneticPr fontId="2"/>
  </si>
  <si>
    <t>(m)</t>
    <phoneticPr fontId="2"/>
  </si>
  <si>
    <t>ｓRa=２・ＬＲa</t>
    <phoneticPr fontId="2"/>
  </si>
  <si>
    <t>qu：</t>
    <phoneticPr fontId="2"/>
  </si>
  <si>
    <t>Ｌ</t>
    <phoneticPr fontId="2"/>
  </si>
  <si>
    <t>Ｎ</t>
    <phoneticPr fontId="2"/>
  </si>
  <si>
    <t>Ls</t>
    <phoneticPr fontId="2"/>
  </si>
  <si>
    <t>Ｎｓ</t>
    <phoneticPr fontId="2"/>
  </si>
  <si>
    <t>Ｌｃ</t>
    <phoneticPr fontId="2"/>
  </si>
  <si>
    <t>ｑｕ</t>
    <phoneticPr fontId="2"/>
  </si>
  <si>
    <t>ＬRa</t>
    <phoneticPr fontId="2"/>
  </si>
  <si>
    <t>qp</t>
    <phoneticPr fontId="2"/>
  </si>
  <si>
    <t>RF</t>
    <phoneticPr fontId="2"/>
  </si>
  <si>
    <t>ｓRa</t>
    <phoneticPr fontId="2"/>
  </si>
  <si>
    <t>V</t>
    <phoneticPr fontId="2"/>
  </si>
  <si>
    <t>A</t>
    <phoneticPr fontId="2"/>
  </si>
  <si>
    <t>Df</t>
    <phoneticPr fontId="2"/>
  </si>
  <si>
    <t>Y1-X3</t>
  </si>
  <si>
    <t>E(max)</t>
    <phoneticPr fontId="2"/>
  </si>
  <si>
    <t>Lfc</t>
    <phoneticPr fontId="2"/>
  </si>
  <si>
    <t>Sfc</t>
    <phoneticPr fontId="2"/>
  </si>
  <si>
    <t>ＬＮａ</t>
    <phoneticPr fontId="2"/>
  </si>
  <si>
    <t>ＳＮａ</t>
    <phoneticPr fontId="2"/>
  </si>
  <si>
    <t>Lfｂ</t>
    <phoneticPr fontId="2"/>
  </si>
  <si>
    <t>Sfｂ</t>
    <phoneticPr fontId="2"/>
  </si>
  <si>
    <t>Lfc：</t>
    <phoneticPr fontId="2"/>
  </si>
  <si>
    <t>L：</t>
    <phoneticPr fontId="2"/>
  </si>
  <si>
    <t>Sfc：</t>
    <phoneticPr fontId="2"/>
  </si>
  <si>
    <t>A：</t>
    <phoneticPr fontId="2"/>
  </si>
  <si>
    <t>ＬＮａ：</t>
    <phoneticPr fontId="2"/>
  </si>
  <si>
    <t>ＬＮａ＝（Lｆｃ-σｅ）Ａ</t>
    <phoneticPr fontId="2"/>
  </si>
  <si>
    <t>I：</t>
    <phoneticPr fontId="2"/>
  </si>
  <si>
    <t>ＳＮａ：</t>
    <phoneticPr fontId="2"/>
  </si>
  <si>
    <t>SＮａ＝（Sｆｃ-σｅ）Ａ</t>
    <phoneticPr fontId="2"/>
  </si>
  <si>
    <t>Z：</t>
    <phoneticPr fontId="2"/>
  </si>
  <si>
    <t>Lfｂ：</t>
    <phoneticPr fontId="2"/>
  </si>
  <si>
    <t>σｅ：</t>
    <phoneticPr fontId="2"/>
  </si>
  <si>
    <t>Sfｂ：</t>
    <phoneticPr fontId="2"/>
  </si>
  <si>
    <t>μ：</t>
    <phoneticPr fontId="2"/>
  </si>
  <si>
    <t>μ＝L/D-ｎ(％)</t>
    <phoneticPr fontId="2"/>
  </si>
  <si>
    <t>ｎ：</t>
    <phoneticPr fontId="2"/>
  </si>
  <si>
    <t>Ap</t>
    <phoneticPr fontId="2"/>
  </si>
  <si>
    <t>D：</t>
    <phoneticPr fontId="2"/>
  </si>
  <si>
    <t>ＬＲa：</t>
    <phoneticPr fontId="2"/>
  </si>
  <si>
    <t>qp：</t>
    <phoneticPr fontId="2"/>
  </si>
  <si>
    <t>Ｎｃ：</t>
    <phoneticPr fontId="2"/>
  </si>
  <si>
    <t>RF：</t>
    <phoneticPr fontId="2"/>
  </si>
  <si>
    <t>qu=Nc/8=</t>
    <phoneticPr fontId="2"/>
  </si>
  <si>
    <t>（kN)</t>
    <phoneticPr fontId="2"/>
  </si>
  <si>
    <t>（kN)</t>
    <phoneticPr fontId="2"/>
  </si>
  <si>
    <t>（kN）</t>
    <phoneticPr fontId="2"/>
  </si>
  <si>
    <t>（kN）</t>
    <phoneticPr fontId="2"/>
  </si>
  <si>
    <t>（kN）</t>
    <phoneticPr fontId="2"/>
  </si>
  <si>
    <t>MAXor</t>
    <phoneticPr fontId="2"/>
  </si>
  <si>
    <t>MIN</t>
    <phoneticPr fontId="2"/>
  </si>
  <si>
    <t>N1/n</t>
    <phoneticPr fontId="2"/>
  </si>
  <si>
    <t>N2/n</t>
    <phoneticPr fontId="2"/>
  </si>
  <si>
    <t>ＬＲa：</t>
    <phoneticPr fontId="2"/>
  </si>
  <si>
    <t>SＲa：</t>
    <phoneticPr fontId="2"/>
  </si>
  <si>
    <t>ｎ:</t>
    <phoneticPr fontId="2"/>
  </si>
  <si>
    <t>Ｐ１</t>
    <phoneticPr fontId="2"/>
  </si>
  <si>
    <t>Ｐ２</t>
    <phoneticPr fontId="2"/>
  </si>
  <si>
    <t>ΣＷ１</t>
    <phoneticPr fontId="2"/>
  </si>
  <si>
    <t>Ｚ</t>
    <phoneticPr fontId="2"/>
  </si>
  <si>
    <t>Ｃo</t>
    <phoneticPr fontId="2"/>
  </si>
  <si>
    <t>Ｑ１</t>
    <phoneticPr fontId="2"/>
  </si>
  <si>
    <t>ΣＷ２</t>
    <phoneticPr fontId="2"/>
  </si>
  <si>
    <t>Ｈ</t>
    <phoneticPr fontId="2"/>
  </si>
  <si>
    <t>Ｋ</t>
    <phoneticPr fontId="2"/>
  </si>
  <si>
    <t>Ｑ２</t>
    <phoneticPr fontId="2"/>
  </si>
  <si>
    <t>ΣQ</t>
    <phoneticPr fontId="2"/>
  </si>
  <si>
    <t>ｎ</t>
    <phoneticPr fontId="2"/>
  </si>
  <si>
    <t>ΣQ/n</t>
    <phoneticPr fontId="2"/>
  </si>
  <si>
    <t>(kN)</t>
    <phoneticPr fontId="2"/>
  </si>
  <si>
    <t>ΣＷ２：</t>
    <phoneticPr fontId="2"/>
  </si>
  <si>
    <t>(kN)</t>
    <phoneticPr fontId="2"/>
  </si>
  <si>
    <t>Ｐ２：</t>
    <phoneticPr fontId="2"/>
  </si>
  <si>
    <t>Ｈ：</t>
    <phoneticPr fontId="2"/>
  </si>
  <si>
    <t>ΣＷ１：</t>
    <phoneticPr fontId="2"/>
  </si>
  <si>
    <t>Ｋ：</t>
    <phoneticPr fontId="2"/>
  </si>
  <si>
    <t>Ｚ：</t>
    <phoneticPr fontId="2"/>
  </si>
  <si>
    <t>Ｃo：</t>
    <phoneticPr fontId="2"/>
  </si>
  <si>
    <t>Ｑ２：</t>
    <phoneticPr fontId="2"/>
  </si>
  <si>
    <t>(kN)</t>
    <phoneticPr fontId="2"/>
  </si>
  <si>
    <t>Ｑ１：</t>
    <phoneticPr fontId="2"/>
  </si>
  <si>
    <t>Ｑ２＝ΣＷ２・Ｋ</t>
    <phoneticPr fontId="2"/>
  </si>
  <si>
    <t>Ｑ１＝ΣＷ２・Ｃo・Ｚ</t>
    <phoneticPr fontId="2"/>
  </si>
  <si>
    <t>α</t>
    <phoneticPr fontId="2"/>
  </si>
  <si>
    <t>Ｂ：</t>
    <phoneticPr fontId="2"/>
  </si>
  <si>
    <t>（mm）</t>
    <phoneticPr fontId="2"/>
  </si>
  <si>
    <t>β：</t>
    <phoneticPr fontId="2"/>
  </si>
  <si>
    <t>(mm-1)</t>
    <phoneticPr fontId="2"/>
  </si>
  <si>
    <t>β=4√(Kh･B/(4･E･I))</t>
    <phoneticPr fontId="2"/>
  </si>
  <si>
    <t>Ｌ：</t>
    <phoneticPr fontId="2"/>
  </si>
  <si>
    <t>（ｍ）</t>
    <phoneticPr fontId="2"/>
  </si>
  <si>
    <t>Ｅ：</t>
    <phoneticPr fontId="2"/>
  </si>
  <si>
    <t>ＬｏｒＳ：</t>
    <phoneticPr fontId="2"/>
  </si>
  <si>
    <t>I：</t>
    <phoneticPr fontId="2"/>
  </si>
  <si>
    <t>(mm)</t>
    <phoneticPr fontId="2"/>
  </si>
  <si>
    <t>α：</t>
    <phoneticPr fontId="2"/>
  </si>
  <si>
    <t>yo：</t>
    <phoneticPr fontId="2"/>
  </si>
  <si>
    <t>yo=Q･β/(Kh･B)</t>
    <phoneticPr fontId="2"/>
  </si>
  <si>
    <t>Ｎ：</t>
    <phoneticPr fontId="2"/>
  </si>
  <si>
    <t>Ｍｏ：</t>
    <phoneticPr fontId="2"/>
  </si>
  <si>
    <t>（kN・m）</t>
    <phoneticPr fontId="2"/>
  </si>
  <si>
    <t>Mo=Q/2β</t>
    <phoneticPr fontId="2"/>
  </si>
  <si>
    <t>Ｑ：</t>
    <phoneticPr fontId="2"/>
  </si>
  <si>
    <t>（kN）</t>
    <phoneticPr fontId="2"/>
  </si>
  <si>
    <t>Mmax：</t>
    <phoneticPr fontId="2"/>
  </si>
  <si>
    <t>（kN・m）</t>
    <phoneticPr fontId="2"/>
  </si>
  <si>
    <t>Mmax=0.104･Q/β</t>
    <phoneticPr fontId="2"/>
  </si>
  <si>
    <t>Eo：</t>
    <phoneticPr fontId="2"/>
  </si>
  <si>
    <t>Lm：</t>
    <phoneticPr fontId="2"/>
  </si>
  <si>
    <t>（ｍ）</t>
    <phoneticPr fontId="2"/>
  </si>
  <si>
    <t>Lm=1.571/β</t>
    <phoneticPr fontId="2"/>
  </si>
  <si>
    <t>Kh：</t>
    <phoneticPr fontId="2"/>
  </si>
  <si>
    <t>Kh=0.8･Eo･B＾(-3/4)</t>
    <phoneticPr fontId="2"/>
  </si>
  <si>
    <t>Lo：</t>
    <phoneticPr fontId="2"/>
  </si>
  <si>
    <t>（ｍ）</t>
    <phoneticPr fontId="2"/>
  </si>
  <si>
    <t>Lo=2.356/β</t>
    <phoneticPr fontId="2"/>
  </si>
  <si>
    <t>Ｐ１</t>
    <phoneticPr fontId="2"/>
  </si>
  <si>
    <t>Mo</t>
    <phoneticPr fontId="2"/>
  </si>
  <si>
    <t>Ma</t>
    <phoneticPr fontId="2"/>
  </si>
  <si>
    <t>Ｐ２</t>
    <phoneticPr fontId="2"/>
  </si>
  <si>
    <t>Ｐ１：</t>
    <phoneticPr fontId="2"/>
  </si>
  <si>
    <t>Ｑ：</t>
    <phoneticPr fontId="2"/>
  </si>
  <si>
    <t>(kN)</t>
    <phoneticPr fontId="2"/>
  </si>
  <si>
    <t>Ｐ２：</t>
    <phoneticPr fontId="2"/>
  </si>
  <si>
    <t>Ｍａ：</t>
    <phoneticPr fontId="2"/>
  </si>
  <si>
    <t>(kN)</t>
    <phoneticPr fontId="2"/>
  </si>
  <si>
    <t>Ｑａ：</t>
    <phoneticPr fontId="2"/>
  </si>
  <si>
    <t>方向</t>
  </si>
  <si>
    <t>(kN)</t>
    <phoneticPr fontId="2"/>
  </si>
  <si>
    <t>fs</t>
    <phoneticPr fontId="2"/>
  </si>
  <si>
    <t>ft</t>
    <phoneticPr fontId="2"/>
  </si>
  <si>
    <t>Qf</t>
    <phoneticPr fontId="2"/>
  </si>
  <si>
    <t xml:space="preserve"> Σat</t>
  </si>
  <si>
    <t>τ=QF/l'j</t>
  </si>
  <si>
    <t>fc</t>
    <phoneticPr fontId="2"/>
  </si>
  <si>
    <t>Fc</t>
    <phoneticPr fontId="2"/>
  </si>
  <si>
    <t>D10，D13</t>
    <phoneticPr fontId="2"/>
  </si>
  <si>
    <t>SD295</t>
    <phoneticPr fontId="2"/>
  </si>
  <si>
    <t>SD345</t>
    <phoneticPr fontId="2"/>
  </si>
  <si>
    <t>ｌ’</t>
    <phoneticPr fontId="2"/>
  </si>
  <si>
    <t>(mm)</t>
    <phoneticPr fontId="2"/>
  </si>
  <si>
    <t>D</t>
    <phoneticPr fontId="2"/>
  </si>
  <si>
    <t>d</t>
    <phoneticPr fontId="2"/>
  </si>
  <si>
    <t>j=(7/8)d</t>
    <phoneticPr fontId="2"/>
  </si>
  <si>
    <t>作用する杭本数</t>
    <phoneticPr fontId="2"/>
  </si>
  <si>
    <t>n'</t>
    <phoneticPr fontId="2"/>
  </si>
  <si>
    <t>せん断応力</t>
    <phoneticPr fontId="2"/>
  </si>
  <si>
    <t>L'</t>
    <phoneticPr fontId="2"/>
  </si>
  <si>
    <t>Mf</t>
    <phoneticPr fontId="2"/>
  </si>
  <si>
    <t>鉄筋断面積の合計</t>
    <phoneticPr fontId="2"/>
  </si>
  <si>
    <t xml:space="preserve">必要鉄筋断面積 </t>
    <phoneticPr fontId="2"/>
  </si>
  <si>
    <t>σt=MF/(Σatj)</t>
    <phoneticPr fontId="2"/>
  </si>
  <si>
    <t>σt/ft</t>
    <phoneticPr fontId="2"/>
  </si>
  <si>
    <t>長期</t>
    <phoneticPr fontId="2"/>
  </si>
  <si>
    <t>短期</t>
    <phoneticPr fontId="2"/>
  </si>
  <si>
    <t>せん断応力度</t>
    <phoneticPr fontId="2"/>
  </si>
  <si>
    <t>τ/fs</t>
    <phoneticPr fontId="2"/>
  </si>
  <si>
    <t>(kNm)</t>
  </si>
  <si>
    <t>F１</t>
    <phoneticPr fontId="2"/>
  </si>
  <si>
    <t>フーチングせい</t>
    <phoneticPr fontId="2"/>
  </si>
  <si>
    <t>曲げモーメント</t>
    <phoneticPr fontId="2"/>
  </si>
  <si>
    <t>使用鉄筋</t>
    <phoneticPr fontId="2"/>
  </si>
  <si>
    <t>fb</t>
    <phoneticPr fontId="2"/>
  </si>
  <si>
    <t>As/ψ=db/4</t>
    <phoneticPr fontId="2"/>
  </si>
  <si>
    <t>N1</t>
    <phoneticPr fontId="2"/>
  </si>
  <si>
    <t>N2</t>
    <phoneticPr fontId="2"/>
  </si>
  <si>
    <t>Df:</t>
    <phoneticPr fontId="2"/>
  </si>
  <si>
    <t>N1:</t>
    <phoneticPr fontId="2"/>
  </si>
  <si>
    <t>FW:</t>
    <phoneticPr fontId="2"/>
  </si>
  <si>
    <t>N2:</t>
    <phoneticPr fontId="2"/>
  </si>
  <si>
    <t>§4.杭基礎の検討</t>
    <rPh sb="3" eb="4">
      <t>クイ</t>
    </rPh>
    <rPh sb="4" eb="6">
      <t>キソ</t>
    </rPh>
    <rPh sb="7" eb="9">
      <t>ケントウ</t>
    </rPh>
    <phoneticPr fontId="2"/>
  </si>
  <si>
    <t>１．基礎杭の支持力</t>
    <rPh sb="2" eb="4">
      <t>キソ</t>
    </rPh>
    <rPh sb="4" eb="5">
      <t>クイ</t>
    </rPh>
    <rPh sb="6" eb="9">
      <t>シジリョク</t>
    </rPh>
    <phoneticPr fontId="2"/>
  </si>
  <si>
    <t>（１）杭の仕様（PHC杭）</t>
    <rPh sb="3" eb="4">
      <t>クイ</t>
    </rPh>
    <rPh sb="5" eb="7">
      <t>シヨウ</t>
    </rPh>
    <rPh sb="11" eb="12">
      <t>クイ</t>
    </rPh>
    <phoneticPr fontId="2"/>
  </si>
  <si>
    <t>杭種</t>
    <rPh sb="0" eb="1">
      <t>クイ</t>
    </rPh>
    <rPh sb="1" eb="2">
      <t>シュ</t>
    </rPh>
    <phoneticPr fontId="2"/>
  </si>
  <si>
    <t>D：</t>
    <phoneticPr fontId="2"/>
  </si>
  <si>
    <t>杭径</t>
    <rPh sb="0" eb="1">
      <t>クイ</t>
    </rPh>
    <rPh sb="1" eb="2">
      <t>ケイ</t>
    </rPh>
    <phoneticPr fontId="2"/>
  </si>
  <si>
    <t>長期許容圧縮応力度</t>
    <rPh sb="0" eb="1">
      <t>チョウ</t>
    </rPh>
    <rPh sb="1" eb="2">
      <t>タンキ</t>
    </rPh>
    <rPh sb="2" eb="4">
      <t>キョヨウ</t>
    </rPh>
    <rPh sb="4" eb="6">
      <t>アッシュク</t>
    </rPh>
    <rPh sb="6" eb="8">
      <t>オウリョク</t>
    </rPh>
    <rPh sb="8" eb="9">
      <t>ド</t>
    </rPh>
    <phoneticPr fontId="2"/>
  </si>
  <si>
    <t>杭長</t>
    <rPh sb="0" eb="2">
      <t>クイチョウ</t>
    </rPh>
    <phoneticPr fontId="2"/>
  </si>
  <si>
    <t>短期許容圧縮応力度</t>
    <rPh sb="0" eb="2">
      <t>タンキ</t>
    </rPh>
    <rPh sb="2" eb="4">
      <t>キョヨウ</t>
    </rPh>
    <rPh sb="4" eb="6">
      <t>アッシュク</t>
    </rPh>
    <rPh sb="6" eb="8">
      <t>オウリョク</t>
    </rPh>
    <rPh sb="8" eb="9">
      <t>ド</t>
    </rPh>
    <phoneticPr fontId="2"/>
  </si>
  <si>
    <t>換算断面積</t>
    <rPh sb="0" eb="2">
      <t>カンサン</t>
    </rPh>
    <rPh sb="2" eb="5">
      <t>ダンメンセキ</t>
    </rPh>
    <phoneticPr fontId="2"/>
  </si>
  <si>
    <t>長期許容軸耐力</t>
    <rPh sb="0" eb="1">
      <t>チョウ</t>
    </rPh>
    <rPh sb="1" eb="2">
      <t>タンキ</t>
    </rPh>
    <rPh sb="2" eb="4">
      <t>キョヨウ</t>
    </rPh>
    <rPh sb="4" eb="5">
      <t>ジク</t>
    </rPh>
    <rPh sb="5" eb="7">
      <t>タイリョク</t>
    </rPh>
    <phoneticPr fontId="2"/>
  </si>
  <si>
    <t>換算断面2次モーメント</t>
    <rPh sb="0" eb="2">
      <t>カンサン</t>
    </rPh>
    <rPh sb="2" eb="4">
      <t>ダンメン</t>
    </rPh>
    <rPh sb="4" eb="6">
      <t>２ジ</t>
    </rPh>
    <phoneticPr fontId="2"/>
  </si>
  <si>
    <t>短期許容軸耐力</t>
    <rPh sb="0" eb="2">
      <t>タンキ</t>
    </rPh>
    <rPh sb="2" eb="4">
      <t>キョヨウ</t>
    </rPh>
    <rPh sb="4" eb="5">
      <t>ジク</t>
    </rPh>
    <rPh sb="5" eb="7">
      <t>タイリョク</t>
    </rPh>
    <phoneticPr fontId="2"/>
  </si>
  <si>
    <t>換算断面係数</t>
    <rPh sb="0" eb="2">
      <t>カンサン</t>
    </rPh>
    <rPh sb="2" eb="4">
      <t>ダンメン</t>
    </rPh>
    <rPh sb="4" eb="6">
      <t>ケイスウ</t>
    </rPh>
    <phoneticPr fontId="2"/>
  </si>
  <si>
    <t>長期曲げ・引張り応力度</t>
    <rPh sb="0" eb="1">
      <t>チョウ</t>
    </rPh>
    <rPh sb="1" eb="2">
      <t>タンキ</t>
    </rPh>
    <rPh sb="2" eb="3">
      <t>マ</t>
    </rPh>
    <rPh sb="5" eb="7">
      <t>ヒッパ</t>
    </rPh>
    <rPh sb="8" eb="10">
      <t>オウリョク</t>
    </rPh>
    <rPh sb="10" eb="11">
      <t>ド</t>
    </rPh>
    <phoneticPr fontId="2"/>
  </si>
  <si>
    <t>有効プレストレス</t>
    <rPh sb="0" eb="2">
      <t>ユウコウ</t>
    </rPh>
    <phoneticPr fontId="2"/>
  </si>
  <si>
    <t>短期曲げ・引張り応力度</t>
    <rPh sb="0" eb="2">
      <t>タンキ</t>
    </rPh>
    <rPh sb="2" eb="3">
      <t>マ</t>
    </rPh>
    <rPh sb="5" eb="7">
      <t>ヒッパ</t>
    </rPh>
    <rPh sb="8" eb="10">
      <t>オウリョク</t>
    </rPh>
    <rPh sb="10" eb="11">
      <t>ド</t>
    </rPh>
    <phoneticPr fontId="2"/>
  </si>
  <si>
    <t>長さ径比に対する低減率</t>
    <rPh sb="0" eb="1">
      <t>ナガ</t>
    </rPh>
    <rPh sb="2" eb="3">
      <t>ケイ</t>
    </rPh>
    <rPh sb="3" eb="4">
      <t>ヒ</t>
    </rPh>
    <rPh sb="5" eb="6">
      <t>タイ</t>
    </rPh>
    <rPh sb="8" eb="10">
      <t>テイゲン</t>
    </rPh>
    <rPh sb="10" eb="11">
      <t>リツ</t>
    </rPh>
    <phoneticPr fontId="2"/>
  </si>
  <si>
    <t>長さ径比にの限界値</t>
    <rPh sb="0" eb="1">
      <t>ナガ</t>
    </rPh>
    <rPh sb="2" eb="3">
      <t>ケイ</t>
    </rPh>
    <rPh sb="3" eb="4">
      <t>ヒ</t>
    </rPh>
    <rPh sb="6" eb="8">
      <t>ゲンカイ</t>
    </rPh>
    <rPh sb="8" eb="9">
      <t>チ</t>
    </rPh>
    <phoneticPr fontId="2"/>
  </si>
  <si>
    <t>（２）地盤の許容支持力</t>
    <rPh sb="3" eb="5">
      <t>ジバン</t>
    </rPh>
    <rPh sb="6" eb="8">
      <t>キョヨウ</t>
    </rPh>
    <rPh sb="8" eb="11">
      <t>シジリョク</t>
    </rPh>
    <phoneticPr fontId="2"/>
  </si>
  <si>
    <t>工法：</t>
    <rPh sb="0" eb="2">
      <t>コウホウ</t>
    </rPh>
    <phoneticPr fontId="2"/>
  </si>
  <si>
    <t>長期許容支持力</t>
    <rPh sb="0" eb="2">
      <t>チョウキ</t>
    </rPh>
    <rPh sb="2" eb="4">
      <t>キョヨウ</t>
    </rPh>
    <rPh sb="4" eb="7">
      <t>シジリョク</t>
    </rPh>
    <phoneticPr fontId="2"/>
  </si>
  <si>
    <t>杭長</t>
    <rPh sb="0" eb="1">
      <t>クイ</t>
    </rPh>
    <rPh sb="1" eb="2">
      <t>チョウ</t>
    </rPh>
    <phoneticPr fontId="2"/>
  </si>
  <si>
    <t>杭先端付近のＮ値</t>
    <rPh sb="0" eb="1">
      <t>クイ</t>
    </rPh>
    <rPh sb="1" eb="3">
      <t>センタン</t>
    </rPh>
    <rPh sb="3" eb="5">
      <t>フキン</t>
    </rPh>
    <rPh sb="7" eb="8">
      <t>チ</t>
    </rPh>
    <phoneticPr fontId="2"/>
  </si>
  <si>
    <t>杭の周の長さ</t>
    <rPh sb="0" eb="1">
      <t>クイ</t>
    </rPh>
    <rPh sb="2" eb="3">
      <t>シュウ</t>
    </rPh>
    <rPh sb="4" eb="5">
      <t>ナガ</t>
    </rPh>
    <phoneticPr fontId="2"/>
  </si>
  <si>
    <t>砂質土地盤の接する長さ</t>
    <rPh sb="0" eb="1">
      <t>スナ</t>
    </rPh>
    <rPh sb="1" eb="2">
      <t>シツ</t>
    </rPh>
    <rPh sb="2" eb="3">
      <t>ツチ</t>
    </rPh>
    <rPh sb="3" eb="5">
      <t>ジバン</t>
    </rPh>
    <rPh sb="6" eb="7">
      <t>セッ</t>
    </rPh>
    <rPh sb="9" eb="10">
      <t>ナガ</t>
    </rPh>
    <phoneticPr fontId="2"/>
  </si>
  <si>
    <t>杭先端の断面積</t>
    <rPh sb="0" eb="1">
      <t>クイ</t>
    </rPh>
    <rPh sb="1" eb="3">
      <t>センタン</t>
    </rPh>
    <rPh sb="4" eb="7">
      <t>ダンメンセキ</t>
    </rPh>
    <phoneticPr fontId="2"/>
  </si>
  <si>
    <t>砂質土地盤の平均Ｎ値</t>
    <rPh sb="0" eb="1">
      <t>スナ</t>
    </rPh>
    <rPh sb="1" eb="2">
      <t>シツ</t>
    </rPh>
    <rPh sb="2" eb="3">
      <t>ツチ</t>
    </rPh>
    <rPh sb="3" eb="5">
      <t>ジバン</t>
    </rPh>
    <rPh sb="6" eb="8">
      <t>ヘイキン</t>
    </rPh>
    <rPh sb="9" eb="10">
      <t>チ</t>
    </rPh>
    <phoneticPr fontId="2"/>
  </si>
  <si>
    <t>短期許容支持力</t>
    <rPh sb="0" eb="1">
      <t>タン</t>
    </rPh>
    <rPh sb="1" eb="2">
      <t>チョウキ</t>
    </rPh>
    <rPh sb="2" eb="4">
      <t>キョヨウ</t>
    </rPh>
    <rPh sb="4" eb="7">
      <t>シジリョク</t>
    </rPh>
    <phoneticPr fontId="2"/>
  </si>
  <si>
    <t>粘性土地盤の接する長さ</t>
    <rPh sb="0" eb="2">
      <t>ネンセイ</t>
    </rPh>
    <rPh sb="2" eb="3">
      <t>ツチ</t>
    </rPh>
    <rPh sb="3" eb="5">
      <t>ジバン</t>
    </rPh>
    <rPh sb="6" eb="7">
      <t>セッ</t>
    </rPh>
    <rPh sb="9" eb="10">
      <t>ナガ</t>
    </rPh>
    <phoneticPr fontId="2"/>
  </si>
  <si>
    <t xml:space="preserve">粘性土地盤の１軸圧縮強度平均値 </t>
    <rPh sb="0" eb="1">
      <t>ネンド</t>
    </rPh>
    <rPh sb="1" eb="2">
      <t>セイ</t>
    </rPh>
    <rPh sb="2" eb="3">
      <t>ツチ</t>
    </rPh>
    <rPh sb="3" eb="5">
      <t>ジバン</t>
    </rPh>
    <rPh sb="7" eb="8">
      <t>ジク</t>
    </rPh>
    <rPh sb="8" eb="10">
      <t>アッシュク</t>
    </rPh>
    <rPh sb="10" eb="11">
      <t>ツヨ</t>
    </rPh>
    <rPh sb="11" eb="12">
      <t>ド</t>
    </rPh>
    <rPh sb="12" eb="15">
      <t>ヘイキンチ</t>
    </rPh>
    <phoneticPr fontId="2"/>
  </si>
  <si>
    <t>基礎杭の先端の地盤の許容支持力</t>
    <rPh sb="0" eb="2">
      <t>キソ</t>
    </rPh>
    <rPh sb="2" eb="3">
      <t>クイ</t>
    </rPh>
    <rPh sb="4" eb="6">
      <t>センタン</t>
    </rPh>
    <rPh sb="7" eb="9">
      <t>ジバン</t>
    </rPh>
    <rPh sb="10" eb="12">
      <t>キョヨウ</t>
    </rPh>
    <rPh sb="12" eb="14">
      <t>シジ</t>
    </rPh>
    <rPh sb="14" eb="15">
      <t>リョク</t>
    </rPh>
    <phoneticPr fontId="2"/>
  </si>
  <si>
    <t>粘性土地盤の平均値Ｎ値</t>
    <rPh sb="0" eb="1">
      <t>ネンド</t>
    </rPh>
    <rPh sb="1" eb="2">
      <t>セイ</t>
    </rPh>
    <rPh sb="2" eb="3">
      <t>ツチ</t>
    </rPh>
    <rPh sb="3" eb="5">
      <t>ジバン</t>
    </rPh>
    <rPh sb="6" eb="9">
      <t>ヘイキンチ</t>
    </rPh>
    <rPh sb="10" eb="11">
      <t>チ</t>
    </rPh>
    <phoneticPr fontId="2"/>
  </si>
  <si>
    <t>基礎杭とその周囲の地盤との摩擦力</t>
    <rPh sb="0" eb="2">
      <t>キソ</t>
    </rPh>
    <rPh sb="2" eb="3">
      <t>クイ</t>
    </rPh>
    <rPh sb="6" eb="8">
      <t>シュウイ</t>
    </rPh>
    <rPh sb="9" eb="11">
      <t>ジバン</t>
    </rPh>
    <rPh sb="13" eb="15">
      <t>マサツ</t>
    </rPh>
    <rPh sb="15" eb="16">
      <t>リョク</t>
    </rPh>
    <phoneticPr fontId="2"/>
  </si>
  <si>
    <t>（Terzaghi-Peekの式）</t>
    <rPh sb="15" eb="16">
      <t>シキ</t>
    </rPh>
    <phoneticPr fontId="2"/>
  </si>
  <si>
    <t>2．基礎底面直圧力Ｎ及び杭本数の検討</t>
    <rPh sb="2" eb="4">
      <t>キソ</t>
    </rPh>
    <rPh sb="4" eb="6">
      <t>テイメン</t>
    </rPh>
    <rPh sb="6" eb="7">
      <t>チョク</t>
    </rPh>
    <rPh sb="7" eb="9">
      <t>アツリョク</t>
    </rPh>
    <rPh sb="10" eb="11">
      <t>オヨ</t>
    </rPh>
    <rPh sb="12" eb="13">
      <t>クイ</t>
    </rPh>
    <rPh sb="13" eb="15">
      <t>ホンスウ</t>
    </rPh>
    <rPh sb="16" eb="18">
      <t>ケントウ</t>
    </rPh>
    <phoneticPr fontId="2"/>
  </si>
  <si>
    <t>（１）長期</t>
    <rPh sb="3" eb="5">
      <t>チョウキ</t>
    </rPh>
    <phoneticPr fontId="2"/>
  </si>
  <si>
    <t>合計</t>
    <rPh sb="0" eb="2">
      <t>ゴウケイ</t>
    </rPh>
    <phoneticPr fontId="2"/>
  </si>
  <si>
    <t>FW</t>
    <phoneticPr fontId="2"/>
  </si>
  <si>
    <t>N</t>
    <phoneticPr fontId="2"/>
  </si>
  <si>
    <t>ＬＲa</t>
    <phoneticPr fontId="2"/>
  </si>
  <si>
    <t>ｎ</t>
    <phoneticPr fontId="2"/>
  </si>
  <si>
    <t>LRa・n</t>
    <phoneticPr fontId="2"/>
  </si>
  <si>
    <t>N/(LRa・n)</t>
    <phoneticPr fontId="2"/>
  </si>
  <si>
    <t>判定</t>
    <rPh sb="0" eb="2">
      <t>ハンテイ</t>
    </rPh>
    <phoneticPr fontId="2"/>
  </si>
  <si>
    <t>備考</t>
    <rPh sb="0" eb="2">
      <t>ビコウ</t>
    </rPh>
    <phoneticPr fontId="2"/>
  </si>
  <si>
    <t>（２）短期</t>
    <rPh sb="3" eb="5">
      <t>タンキ</t>
    </rPh>
    <phoneticPr fontId="2"/>
  </si>
  <si>
    <t>軸力（kN）</t>
    <rPh sb="0" eb="2">
      <t>ジクリョク</t>
    </rPh>
    <phoneticPr fontId="2"/>
  </si>
  <si>
    <t>基礎深さ （ｍ）</t>
    <rPh sb="0" eb="2">
      <t>キソ</t>
    </rPh>
    <rPh sb="2" eb="3">
      <t>フカ</t>
    </rPh>
    <phoneticPr fontId="2"/>
  </si>
  <si>
    <t>長期許容支持力（kN）</t>
    <rPh sb="0" eb="2">
      <t>チョウキ</t>
    </rPh>
    <rPh sb="2" eb="4">
      <t>キョヨウ</t>
    </rPh>
    <rPh sb="4" eb="7">
      <t>シジリョク</t>
    </rPh>
    <phoneticPr fontId="2"/>
  </si>
  <si>
    <t>N2=V+Emax+Fw (kN/本)</t>
    <phoneticPr fontId="2"/>
  </si>
  <si>
    <t>E(max)：</t>
    <phoneticPr fontId="2"/>
  </si>
  <si>
    <t>水平荷重時軸力（kN）</t>
    <rPh sb="0" eb="2">
      <t>スイヘイ</t>
    </rPh>
    <rPh sb="2" eb="4">
      <t>カジュウ</t>
    </rPh>
    <rPh sb="4" eb="5">
      <t>ジ</t>
    </rPh>
    <rPh sb="5" eb="7">
      <t>ジクリョク</t>
    </rPh>
    <phoneticPr fontId="2"/>
  </si>
  <si>
    <t>基礎重量（FW=2･A･Df）（kN）</t>
    <rPh sb="0" eb="2">
      <t>キソ</t>
    </rPh>
    <rPh sb="2" eb="4">
      <t>ジュウリョウ</t>
    </rPh>
    <phoneticPr fontId="2"/>
  </si>
  <si>
    <t>短期許容支持力（kN）</t>
    <rPh sb="0" eb="1">
      <t>タン</t>
    </rPh>
    <rPh sb="1" eb="2">
      <t>チョウキ</t>
    </rPh>
    <rPh sb="2" eb="4">
      <t>キョヨウ</t>
    </rPh>
    <rPh sb="4" eb="7">
      <t>シジリョク</t>
    </rPh>
    <phoneticPr fontId="2"/>
  </si>
  <si>
    <t>N3=V-Emax+Fw (kN/本)</t>
    <phoneticPr fontId="2"/>
  </si>
  <si>
    <t>Ａ：</t>
    <phoneticPr fontId="2"/>
  </si>
  <si>
    <t>フーチング面積（㎡）</t>
    <rPh sb="5" eb="7">
      <t>メンセキ</t>
    </rPh>
    <phoneticPr fontId="2"/>
  </si>
  <si>
    <t>杭本数</t>
    <rPh sb="0" eb="1">
      <t>クイ</t>
    </rPh>
    <rPh sb="1" eb="3">
      <t>ホンスウ</t>
    </rPh>
    <phoneticPr fontId="2"/>
  </si>
  <si>
    <t>V+E(max)</t>
    <phoneticPr fontId="2"/>
  </si>
  <si>
    <t>A</t>
    <phoneticPr fontId="2"/>
  </si>
  <si>
    <t>Df</t>
    <phoneticPr fontId="2"/>
  </si>
  <si>
    <t>FW</t>
    <phoneticPr fontId="2"/>
  </si>
  <si>
    <t>N</t>
    <phoneticPr fontId="2"/>
  </si>
  <si>
    <t>SＲa</t>
    <phoneticPr fontId="2"/>
  </si>
  <si>
    <t>ｎ</t>
    <phoneticPr fontId="2"/>
  </si>
  <si>
    <t>SＲa・ｎ</t>
    <phoneticPr fontId="2"/>
  </si>
  <si>
    <t>N/(sRa・n)</t>
    <phoneticPr fontId="2"/>
  </si>
  <si>
    <t>Ｖ：</t>
    <phoneticPr fontId="2"/>
  </si>
  <si>
    <t>3.杭の水平耐力</t>
    <rPh sb="2" eb="3">
      <t>クイ</t>
    </rPh>
    <rPh sb="4" eb="6">
      <t>スイヘイ</t>
    </rPh>
    <rPh sb="6" eb="8">
      <t>タイリョク</t>
    </rPh>
    <phoneticPr fontId="2"/>
  </si>
  <si>
    <t>(1)．荷重</t>
    <rPh sb="4" eb="6">
      <t>カジュウ</t>
    </rPh>
    <phoneticPr fontId="2"/>
  </si>
  <si>
    <t>Ｐ１：</t>
    <phoneticPr fontId="2"/>
  </si>
  <si>
    <t>杭１本当たりに作用する短期最大軸力</t>
    <rPh sb="0" eb="1">
      <t>クイ</t>
    </rPh>
    <rPh sb="2" eb="3">
      <t>ホン</t>
    </rPh>
    <rPh sb="3" eb="4">
      <t>ア</t>
    </rPh>
    <rPh sb="7" eb="9">
      <t>サヨウ</t>
    </rPh>
    <rPh sb="11" eb="13">
      <t>タンキ</t>
    </rPh>
    <rPh sb="13" eb="15">
      <t>サイダイ</t>
    </rPh>
    <rPh sb="15" eb="16">
      <t>ジク</t>
    </rPh>
    <rPh sb="16" eb="17">
      <t>リョク</t>
    </rPh>
    <phoneticPr fontId="2"/>
  </si>
  <si>
    <t>建物の地下部分の総重量</t>
    <rPh sb="0" eb="2">
      <t>タテモノ</t>
    </rPh>
    <rPh sb="3" eb="4">
      <t>チジョウ</t>
    </rPh>
    <rPh sb="4" eb="5">
      <t>シタ</t>
    </rPh>
    <rPh sb="5" eb="7">
      <t>ブブン</t>
    </rPh>
    <rPh sb="8" eb="9">
      <t>ソウ</t>
    </rPh>
    <rPh sb="9" eb="11">
      <t>ジュウリョウ</t>
    </rPh>
    <phoneticPr fontId="2"/>
  </si>
  <si>
    <t>杭に作用する地震力</t>
    <rPh sb="0" eb="1">
      <t>クイ</t>
    </rPh>
    <rPh sb="2" eb="4">
      <t>サヨウ</t>
    </rPh>
    <rPh sb="6" eb="8">
      <t>ジシン</t>
    </rPh>
    <rPh sb="8" eb="9">
      <t>リョク</t>
    </rPh>
    <phoneticPr fontId="2"/>
  </si>
  <si>
    <t>杭１本当たりに作用する短期最小軸力</t>
    <rPh sb="0" eb="1">
      <t>クイ</t>
    </rPh>
    <rPh sb="11" eb="13">
      <t>タンキ</t>
    </rPh>
    <rPh sb="14" eb="15">
      <t>ショウ</t>
    </rPh>
    <phoneticPr fontId="2"/>
  </si>
  <si>
    <t>地盤面からの深さ</t>
    <rPh sb="0" eb="1">
      <t>ジ</t>
    </rPh>
    <rPh sb="1" eb="3">
      <t>バンメン</t>
    </rPh>
    <rPh sb="6" eb="7">
      <t>フカ</t>
    </rPh>
    <phoneticPr fontId="2"/>
  </si>
  <si>
    <t>建物の地上部分の総重量</t>
    <rPh sb="0" eb="2">
      <t>タテモノ</t>
    </rPh>
    <rPh sb="3" eb="5">
      <t>チジョウ</t>
    </rPh>
    <rPh sb="5" eb="7">
      <t>ブブン</t>
    </rPh>
    <rPh sb="8" eb="9">
      <t>ソウ</t>
    </rPh>
    <rPh sb="9" eb="11">
      <t>ジュウリョウ</t>
    </rPh>
    <phoneticPr fontId="2"/>
  </si>
  <si>
    <t>水平震度</t>
    <rPh sb="0" eb="2">
      <t>スイヘイ</t>
    </rPh>
    <rPh sb="2" eb="4">
      <t>シンド</t>
    </rPh>
    <phoneticPr fontId="2"/>
  </si>
  <si>
    <t>杭の総本数</t>
    <rPh sb="0" eb="1">
      <t>クイ</t>
    </rPh>
    <rPh sb="2" eb="3">
      <t>ソウ</t>
    </rPh>
    <rPh sb="3" eb="4">
      <t>ホン</t>
    </rPh>
    <rPh sb="4" eb="5">
      <t>スウ</t>
    </rPh>
    <phoneticPr fontId="2"/>
  </si>
  <si>
    <t>（本）</t>
    <rPh sb="1" eb="2">
      <t>ホン</t>
    </rPh>
    <phoneticPr fontId="2"/>
  </si>
  <si>
    <t>地域特性係数</t>
    <rPh sb="0" eb="2">
      <t>チイキ</t>
    </rPh>
    <rPh sb="2" eb="4">
      <t>トクセイ</t>
    </rPh>
    <rPh sb="4" eb="6">
      <t>ケイスウ</t>
    </rPh>
    <phoneticPr fontId="2"/>
  </si>
  <si>
    <t>杭1本当たりに作用する地震力</t>
    <rPh sb="0" eb="1">
      <t>クイ</t>
    </rPh>
    <rPh sb="1" eb="3">
      <t>１ホン</t>
    </rPh>
    <rPh sb="3" eb="4">
      <t>ア</t>
    </rPh>
    <rPh sb="7" eb="9">
      <t>サヨウ</t>
    </rPh>
    <rPh sb="11" eb="13">
      <t>ジシン</t>
    </rPh>
    <rPh sb="13" eb="14">
      <t>リョク</t>
    </rPh>
    <phoneticPr fontId="2"/>
  </si>
  <si>
    <t>標準層せん断力係数</t>
    <rPh sb="0" eb="2">
      <t>ヒョウジュン</t>
    </rPh>
    <rPh sb="2" eb="3">
      <t>ソウ</t>
    </rPh>
    <rPh sb="3" eb="6">
      <t>センダン</t>
    </rPh>
    <rPh sb="6" eb="7">
      <t>リョク</t>
    </rPh>
    <rPh sb="7" eb="9">
      <t>ケイスウ</t>
    </rPh>
    <phoneticPr fontId="2"/>
  </si>
  <si>
    <t>地下部分の地震力</t>
    <rPh sb="0" eb="2">
      <t>チカ</t>
    </rPh>
    <rPh sb="2" eb="4">
      <t>ブブン</t>
    </rPh>
    <rPh sb="5" eb="7">
      <t>ジシン</t>
    </rPh>
    <rPh sb="7" eb="8">
      <t>リョク</t>
    </rPh>
    <phoneticPr fontId="2"/>
  </si>
  <si>
    <t>地上部分の地震力</t>
    <rPh sb="0" eb="1">
      <t>チカ</t>
    </rPh>
    <rPh sb="1" eb="2">
      <t>ウエ</t>
    </rPh>
    <rPh sb="2" eb="4">
      <t>ブブン</t>
    </rPh>
    <rPh sb="5" eb="7">
      <t>ジシン</t>
    </rPh>
    <rPh sb="7" eb="8">
      <t>リョク</t>
    </rPh>
    <phoneticPr fontId="2"/>
  </si>
  <si>
    <t>(2)．応力算定</t>
    <rPh sb="4" eb="6">
      <t>オウリョク</t>
    </rPh>
    <rPh sb="6" eb="8">
      <t>サンテイ</t>
    </rPh>
    <phoneticPr fontId="2"/>
  </si>
  <si>
    <t>1.杭の水平抵抗は杭の最大曲げモーメントの生ずる点よりも浅い部分の変形特性が支配的である｡</t>
    <rPh sb="2" eb="3">
      <t>クイ</t>
    </rPh>
    <rPh sb="4" eb="6">
      <t>スイヘイ</t>
    </rPh>
    <rPh sb="6" eb="8">
      <t>テイコウ</t>
    </rPh>
    <rPh sb="9" eb="10">
      <t>クイ</t>
    </rPh>
    <rPh sb="11" eb="13">
      <t>サイダイ</t>
    </rPh>
    <rPh sb="13" eb="14">
      <t>マ</t>
    </rPh>
    <rPh sb="21" eb="22">
      <t>ショウ</t>
    </rPh>
    <rPh sb="24" eb="25">
      <t>テン</t>
    </rPh>
    <rPh sb="28" eb="29">
      <t>アサ</t>
    </rPh>
    <rPh sb="30" eb="32">
      <t>ブブン</t>
    </rPh>
    <rPh sb="33" eb="35">
      <t>ヘンケイ</t>
    </rPh>
    <rPh sb="35" eb="37">
      <t>トクセイ</t>
    </rPh>
    <rPh sb="38" eb="41">
      <t>シハイテキ</t>
    </rPh>
    <phoneticPr fontId="2"/>
  </si>
  <si>
    <t xml:space="preserve">   従って浅い部分の平均Ｎ値を基にして、横方向地盤反力係数を次式により求める。</t>
    <rPh sb="3" eb="4">
      <t>シタガ</t>
    </rPh>
    <rPh sb="6" eb="7">
      <t>アサ</t>
    </rPh>
    <rPh sb="8" eb="10">
      <t>ブブン</t>
    </rPh>
    <rPh sb="11" eb="13">
      <t>ヘイキン</t>
    </rPh>
    <rPh sb="14" eb="15">
      <t>チ</t>
    </rPh>
    <rPh sb="16" eb="17">
      <t>モト</t>
    </rPh>
    <rPh sb="21" eb="24">
      <t>ヨコホウコウ</t>
    </rPh>
    <rPh sb="24" eb="26">
      <t>ジバン</t>
    </rPh>
    <rPh sb="26" eb="27">
      <t>ハン</t>
    </rPh>
    <rPh sb="27" eb="28">
      <t>リョク</t>
    </rPh>
    <rPh sb="28" eb="30">
      <t>ケイスウ</t>
    </rPh>
    <rPh sb="31" eb="32">
      <t>ジ</t>
    </rPh>
    <rPh sb="32" eb="33">
      <t>シキ</t>
    </rPh>
    <rPh sb="36" eb="37">
      <t>モト</t>
    </rPh>
    <phoneticPr fontId="2"/>
  </si>
  <si>
    <t>2.杭頭回転拘束の場合として検討する｡</t>
    <rPh sb="2" eb="4">
      <t>クイトウ</t>
    </rPh>
    <rPh sb="4" eb="6">
      <t>カイテン</t>
    </rPh>
    <rPh sb="6" eb="8">
      <t>コウソク</t>
    </rPh>
    <rPh sb="9" eb="11">
      <t>バアイ</t>
    </rPh>
    <rPh sb="14" eb="16">
      <t>ケントウ</t>
    </rPh>
    <phoneticPr fontId="2"/>
  </si>
  <si>
    <t>杭幅</t>
    <rPh sb="0" eb="1">
      <t>クイ</t>
    </rPh>
    <rPh sb="1" eb="2">
      <t>ハバ</t>
    </rPh>
    <phoneticPr fontId="2"/>
  </si>
  <si>
    <t>杭の特性値</t>
    <rPh sb="0" eb="1">
      <t>クイ</t>
    </rPh>
    <rPh sb="2" eb="4">
      <t>トクセイ</t>
    </rPh>
    <rPh sb="4" eb="5">
      <t>チ</t>
    </rPh>
    <phoneticPr fontId="2"/>
  </si>
  <si>
    <t>杭のヤング係数</t>
    <rPh sb="0" eb="1">
      <t>クイ</t>
    </rPh>
    <rPh sb="5" eb="7">
      <t>ケイスウ</t>
    </rPh>
    <phoneticPr fontId="2"/>
  </si>
  <si>
    <t>長い杭・短い杭の判定</t>
    <rPh sb="0" eb="1">
      <t>ナガ</t>
    </rPh>
    <rPh sb="2" eb="3">
      <t>クイ</t>
    </rPh>
    <rPh sb="4" eb="5">
      <t>ミジカ</t>
    </rPh>
    <rPh sb="6" eb="7">
      <t>クイ</t>
    </rPh>
    <rPh sb="8" eb="10">
      <t>ハンテイ</t>
    </rPh>
    <phoneticPr fontId="2"/>
  </si>
  <si>
    <t>Lβ≧3：長い杭</t>
    <rPh sb="5" eb="6">
      <t>ナガ</t>
    </rPh>
    <rPh sb="7" eb="8">
      <t>クイ</t>
    </rPh>
    <phoneticPr fontId="2"/>
  </si>
  <si>
    <t>Lβ＜3：短い杭</t>
    <rPh sb="5" eb="6">
      <t>ミジカ</t>
    </rPh>
    <rPh sb="7" eb="8">
      <t>クイ</t>
    </rPh>
    <phoneticPr fontId="2"/>
  </si>
  <si>
    <t>杭頭の固定度</t>
    <rPh sb="0" eb="1">
      <t>クイ</t>
    </rPh>
    <rPh sb="1" eb="2">
      <t>アタマ</t>
    </rPh>
    <rPh sb="3" eb="5">
      <t>コテイ</t>
    </rPh>
    <rPh sb="5" eb="6">
      <t>ド</t>
    </rPh>
    <phoneticPr fontId="2"/>
  </si>
  <si>
    <t>杭頭の水平変位</t>
    <rPh sb="0" eb="2">
      <t>クイトウ</t>
    </rPh>
    <rPh sb="3" eb="5">
      <t>スイヘイ</t>
    </rPh>
    <rPh sb="5" eb="7">
      <t>ヘンイ</t>
    </rPh>
    <phoneticPr fontId="2"/>
  </si>
  <si>
    <t>杭頭付近の平均Ｎ値</t>
    <rPh sb="0" eb="1">
      <t>クイ</t>
    </rPh>
    <rPh sb="1" eb="2">
      <t>アタマ</t>
    </rPh>
    <rPh sb="2" eb="4">
      <t>フキン</t>
    </rPh>
    <rPh sb="5" eb="7">
      <t>ヘイキン</t>
    </rPh>
    <rPh sb="8" eb="9">
      <t>チ</t>
    </rPh>
    <phoneticPr fontId="2"/>
  </si>
  <si>
    <t>杭頭の曲げモーメント</t>
    <rPh sb="0" eb="2">
      <t>クイトウ</t>
    </rPh>
    <rPh sb="3" eb="4">
      <t>マ</t>
    </rPh>
    <phoneticPr fontId="2"/>
  </si>
  <si>
    <t>地震力</t>
    <rPh sb="0" eb="2">
      <t>ジシン</t>
    </rPh>
    <rPh sb="2" eb="3">
      <t>リョク</t>
    </rPh>
    <phoneticPr fontId="2"/>
  </si>
  <si>
    <t>地中部の最大曲げモーメント</t>
    <rPh sb="0" eb="2">
      <t>チチュウ</t>
    </rPh>
    <rPh sb="2" eb="3">
      <t>ブ</t>
    </rPh>
    <rPh sb="4" eb="6">
      <t>サイダイ</t>
    </rPh>
    <rPh sb="6" eb="7">
      <t>マ</t>
    </rPh>
    <phoneticPr fontId="2"/>
  </si>
  <si>
    <t>Mmaxの発生点深さ</t>
    <rPh sb="5" eb="7">
      <t>ハッセイ</t>
    </rPh>
    <rPh sb="7" eb="8">
      <t>テン</t>
    </rPh>
    <rPh sb="8" eb="9">
      <t>フカ</t>
    </rPh>
    <phoneticPr fontId="2"/>
  </si>
  <si>
    <t>第一不動点の深さ</t>
    <rPh sb="0" eb="2">
      <t>ダイイチ</t>
    </rPh>
    <rPh sb="2" eb="4">
      <t>フドウ</t>
    </rPh>
    <rPh sb="4" eb="5">
      <t>テン</t>
    </rPh>
    <rPh sb="6" eb="7">
      <t>フカ</t>
    </rPh>
    <phoneticPr fontId="2"/>
  </si>
  <si>
    <t>(3)．断面算定</t>
    <rPh sb="4" eb="6">
      <t>ダンメン</t>
    </rPh>
    <rPh sb="6" eb="8">
      <t>サンテイ</t>
    </rPh>
    <phoneticPr fontId="2"/>
  </si>
  <si>
    <t>圧縮側</t>
    <rPh sb="0" eb="2">
      <t>アッシュク</t>
    </rPh>
    <rPh sb="2" eb="3">
      <t>ガワ</t>
    </rPh>
    <phoneticPr fontId="2"/>
  </si>
  <si>
    <t>引張り側</t>
    <rPh sb="0" eb="2">
      <t>ヒッパ</t>
    </rPh>
    <rPh sb="3" eb="4">
      <t>ガワ</t>
    </rPh>
    <phoneticPr fontId="2"/>
  </si>
  <si>
    <t>杭に作用する最大軸力</t>
    <rPh sb="0" eb="1">
      <t>クイ</t>
    </rPh>
    <rPh sb="2" eb="4">
      <t>サヨウ</t>
    </rPh>
    <rPh sb="6" eb="8">
      <t>サイダイ</t>
    </rPh>
    <rPh sb="8" eb="10">
      <t>ジクホウコウリョク</t>
    </rPh>
    <phoneticPr fontId="2"/>
  </si>
  <si>
    <t>最大曲げモーメント</t>
    <rPh sb="0" eb="2">
      <t>サイダイ</t>
    </rPh>
    <rPh sb="2" eb="3">
      <t>マ</t>
    </rPh>
    <phoneticPr fontId="2"/>
  </si>
  <si>
    <t>(kNm)</t>
    <phoneticPr fontId="2"/>
  </si>
  <si>
    <t>せん断力</t>
    <rPh sb="0" eb="3">
      <t>センダン</t>
    </rPh>
    <rPh sb="3" eb="4">
      <t>リョク</t>
    </rPh>
    <phoneticPr fontId="2"/>
  </si>
  <si>
    <t>杭に作用する最小軸力</t>
    <rPh sb="0" eb="1">
      <t>クイ</t>
    </rPh>
    <rPh sb="2" eb="4">
      <t>サヨウ</t>
    </rPh>
    <rPh sb="6" eb="7">
      <t>サイダイ</t>
    </rPh>
    <rPh sb="7" eb="8">
      <t>ショウ</t>
    </rPh>
    <rPh sb="8" eb="10">
      <t>ジクホウコウリョク</t>
    </rPh>
    <phoneticPr fontId="2"/>
  </si>
  <si>
    <t>許容曲げモーメント</t>
    <rPh sb="0" eb="2">
      <t>キョヨウ</t>
    </rPh>
    <rPh sb="2" eb="3">
      <t>マ</t>
    </rPh>
    <phoneticPr fontId="2"/>
  </si>
  <si>
    <t>(kNm)</t>
    <phoneticPr fontId="2"/>
  </si>
  <si>
    <t>許容せん断力</t>
    <rPh sb="0" eb="2">
      <t>キョヨウ</t>
    </rPh>
    <rPh sb="2" eb="6">
      <t>センダンリョク</t>
    </rPh>
    <phoneticPr fontId="2"/>
  </si>
  <si>
    <t>上杭</t>
    <rPh sb="0" eb="1">
      <t>ウエ</t>
    </rPh>
    <rPh sb="1" eb="2">
      <t>クイ</t>
    </rPh>
    <phoneticPr fontId="2"/>
  </si>
  <si>
    <t>下杭</t>
    <rPh sb="0" eb="1">
      <t>シタ</t>
    </rPh>
    <rPh sb="1" eb="2">
      <t>クイ</t>
    </rPh>
    <phoneticPr fontId="2"/>
  </si>
  <si>
    <t>（mm）</t>
    <phoneticPr fontId="2"/>
  </si>
  <si>
    <r>
      <t>(mm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2"/>
  </si>
  <si>
    <r>
      <t>（mm</t>
    </r>
    <r>
      <rPr>
        <vertAlign val="superscript"/>
        <sz val="10"/>
        <rFont val="ＭＳ Ｐ明朝"/>
        <family val="1"/>
        <charset val="128"/>
      </rPr>
      <t>4</t>
    </r>
    <r>
      <rPr>
        <sz val="10"/>
        <rFont val="ＭＳ Ｐ明朝"/>
        <family val="1"/>
        <charset val="128"/>
      </rPr>
      <t>)</t>
    </r>
    <phoneticPr fontId="2"/>
  </si>
  <si>
    <r>
      <t>(mm</t>
    </r>
    <r>
      <rPr>
        <vertAlign val="superscript"/>
        <sz val="10"/>
        <rFont val="ＭＳ Ｐ明朝"/>
        <family val="1"/>
        <charset val="128"/>
      </rPr>
      <t>3</t>
    </r>
    <r>
      <rPr>
        <sz val="10"/>
        <rFont val="ＭＳ Ｐ明朝"/>
        <family val="1"/>
        <charset val="128"/>
      </rPr>
      <t>)</t>
    </r>
    <phoneticPr fontId="2"/>
  </si>
  <si>
    <r>
      <t>(N/mm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2"/>
  </si>
  <si>
    <r>
      <t>（kN/m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2"/>
  </si>
  <si>
    <r>
      <t>(m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2"/>
  </si>
  <si>
    <t>平均Ｎ値より推定した変形係数</t>
    <rPh sb="0" eb="2">
      <t>ヘイキン</t>
    </rPh>
    <rPh sb="3" eb="4">
      <t>チ</t>
    </rPh>
    <rPh sb="6" eb="8">
      <t>スイテイ</t>
    </rPh>
    <rPh sb="10" eb="12">
      <t>ヘンケイ</t>
    </rPh>
    <rPh sb="12" eb="14">
      <t>ケイスウ</t>
    </rPh>
    <phoneticPr fontId="2"/>
  </si>
  <si>
    <t xml:space="preserve">水平方向地盤反力係数 </t>
    <rPh sb="0" eb="2">
      <t>スイヘイ</t>
    </rPh>
    <rPh sb="2" eb="4">
      <t>ホウコウ</t>
    </rPh>
    <rPh sb="4" eb="6">
      <t>ジバン</t>
    </rPh>
    <rPh sb="6" eb="8">
      <t>ハンリョク</t>
    </rPh>
    <rPh sb="8" eb="10">
      <t>ケイスウ</t>
    </rPh>
    <phoneticPr fontId="2"/>
  </si>
  <si>
    <t>E_Y</t>
    <phoneticPr fontId="2"/>
  </si>
  <si>
    <t>E_X</t>
    <phoneticPr fontId="2"/>
  </si>
  <si>
    <t>Y1-X2</t>
  </si>
  <si>
    <t>Y1-X4</t>
  </si>
  <si>
    <t>Y1-X5</t>
  </si>
  <si>
    <t>Y2-X3</t>
  </si>
  <si>
    <t>A</t>
    <phoneticPr fontId="2"/>
  </si>
  <si>
    <t>B</t>
    <phoneticPr fontId="2"/>
  </si>
  <si>
    <t>C</t>
    <phoneticPr fontId="2"/>
  </si>
  <si>
    <t>PHC　A種 φ300　L=7ｍ</t>
    <rPh sb="5" eb="6">
      <t>シュ</t>
    </rPh>
    <phoneticPr fontId="2"/>
  </si>
  <si>
    <t>PHC　A種 φ300　L=8ｍ</t>
    <rPh sb="5" eb="6">
      <t>シュ</t>
    </rPh>
    <phoneticPr fontId="2"/>
  </si>
  <si>
    <t>PHC　A種 φ300　L=9ｍ</t>
    <rPh sb="5" eb="6">
      <t>シュ</t>
    </rPh>
    <phoneticPr fontId="2"/>
  </si>
  <si>
    <t>PHC　A種 φ300　L=10ｍ</t>
    <rPh sb="5" eb="6">
      <t>シュ</t>
    </rPh>
    <phoneticPr fontId="2"/>
  </si>
  <si>
    <t>PHC　A種 φ300　L=11ｍ</t>
    <rPh sb="5" eb="6">
      <t>シュ</t>
    </rPh>
    <phoneticPr fontId="2"/>
  </si>
  <si>
    <t>PHC　A種 φ300　L=12ｍ</t>
    <rPh sb="5" eb="6">
      <t>シュ</t>
    </rPh>
    <phoneticPr fontId="2"/>
  </si>
  <si>
    <t>PHC　A種 φ300　L=13ｍ</t>
    <rPh sb="5" eb="6">
      <t>シュ</t>
    </rPh>
    <phoneticPr fontId="2"/>
  </si>
  <si>
    <t>PHC　B種 φ300　L=7ｍ</t>
    <rPh sb="5" eb="6">
      <t>シュ</t>
    </rPh>
    <phoneticPr fontId="2"/>
  </si>
  <si>
    <t>PHC　B種 φ300　L=8ｍ</t>
    <rPh sb="5" eb="6">
      <t>シュ</t>
    </rPh>
    <phoneticPr fontId="2"/>
  </si>
  <si>
    <t>PHC　B種 φ300　L=9ｍ</t>
    <rPh sb="5" eb="6">
      <t>シュ</t>
    </rPh>
    <phoneticPr fontId="2"/>
  </si>
  <si>
    <t>PHC　B種 φ300　L=10ｍ</t>
    <rPh sb="5" eb="6">
      <t>シュ</t>
    </rPh>
    <phoneticPr fontId="2"/>
  </si>
  <si>
    <t>PHC　B種 φ300　L=11ｍ</t>
    <rPh sb="5" eb="6">
      <t>シュ</t>
    </rPh>
    <phoneticPr fontId="2"/>
  </si>
  <si>
    <t>PHC　B種 φ300　L=12ｍ</t>
    <rPh sb="5" eb="6">
      <t>シュ</t>
    </rPh>
    <phoneticPr fontId="2"/>
  </si>
  <si>
    <t>PHC　B種 φ300　L=13ｍ</t>
    <rPh sb="5" eb="6">
      <t>シュ</t>
    </rPh>
    <phoneticPr fontId="2"/>
  </si>
  <si>
    <t>PHC　B種 φ300　L=14ｍ</t>
    <rPh sb="5" eb="6">
      <t>シュ</t>
    </rPh>
    <phoneticPr fontId="2"/>
  </si>
  <si>
    <t>PHC　B種 φ300　L=15ｍ</t>
    <rPh sb="5" eb="6">
      <t>シュ</t>
    </rPh>
    <phoneticPr fontId="2"/>
  </si>
  <si>
    <t>PHC　C種 φ300　L=7ｍ</t>
    <rPh sb="5" eb="6">
      <t>シュ</t>
    </rPh>
    <phoneticPr fontId="2"/>
  </si>
  <si>
    <t>PHC　C種 φ300　L=8ｍ</t>
    <rPh sb="5" eb="6">
      <t>シュ</t>
    </rPh>
    <phoneticPr fontId="2"/>
  </si>
  <si>
    <t>PHC　C種 φ300　L=9ｍ</t>
    <rPh sb="5" eb="6">
      <t>シュ</t>
    </rPh>
    <phoneticPr fontId="2"/>
  </si>
  <si>
    <t>PHC　C種 φ300　L=10ｍ</t>
    <rPh sb="5" eb="6">
      <t>シュ</t>
    </rPh>
    <phoneticPr fontId="2"/>
  </si>
  <si>
    <t>PHC　C種 φ300　L=11ｍ</t>
    <rPh sb="5" eb="6">
      <t>シュ</t>
    </rPh>
    <phoneticPr fontId="2"/>
  </si>
  <si>
    <t>PHC　C種 φ300　L=12ｍ</t>
    <rPh sb="5" eb="6">
      <t>シュ</t>
    </rPh>
    <phoneticPr fontId="2"/>
  </si>
  <si>
    <t>PHC　C種 φ300　L=13ｍ</t>
    <rPh sb="5" eb="6">
      <t>シュ</t>
    </rPh>
    <phoneticPr fontId="2"/>
  </si>
  <si>
    <t>PHC　C種 φ300　L=14ｍ</t>
    <rPh sb="5" eb="6">
      <t>シュ</t>
    </rPh>
    <phoneticPr fontId="2"/>
  </si>
  <si>
    <t>PHC　C種 φ300　L=15ｍ</t>
    <rPh sb="5" eb="6">
      <t>シュ</t>
    </rPh>
    <phoneticPr fontId="2"/>
  </si>
  <si>
    <t>PHC　A種 φ350　L=7ｍ</t>
    <rPh sb="5" eb="6">
      <t>シュ</t>
    </rPh>
    <phoneticPr fontId="2"/>
  </si>
  <si>
    <t>PHC　A種 φ350　L=8ｍ</t>
    <rPh sb="5" eb="6">
      <t>シュ</t>
    </rPh>
    <phoneticPr fontId="2"/>
  </si>
  <si>
    <t>PHC　A種 φ350　L=9ｍ</t>
    <rPh sb="5" eb="6">
      <t>シュ</t>
    </rPh>
    <phoneticPr fontId="2"/>
  </si>
  <si>
    <t>PHC　A種 φ350　L=10ｍ</t>
    <rPh sb="5" eb="6">
      <t>シュ</t>
    </rPh>
    <phoneticPr fontId="2"/>
  </si>
  <si>
    <t>PHC　A種 φ350　L=11ｍ</t>
    <rPh sb="5" eb="6">
      <t>シュ</t>
    </rPh>
    <phoneticPr fontId="2"/>
  </si>
  <si>
    <t>PHC　A種 φ350　L=12ｍ</t>
    <rPh sb="5" eb="6">
      <t>シュ</t>
    </rPh>
    <phoneticPr fontId="2"/>
  </si>
  <si>
    <t>PHC　A種 φ350　L=13ｍ</t>
    <rPh sb="5" eb="6">
      <t>シュ</t>
    </rPh>
    <phoneticPr fontId="2"/>
  </si>
  <si>
    <t>PHC　B種 φ350　L=7ｍ</t>
    <rPh sb="5" eb="6">
      <t>シュ</t>
    </rPh>
    <phoneticPr fontId="2"/>
  </si>
  <si>
    <t>PHC　B種 φ350　L=8ｍ</t>
    <rPh sb="5" eb="6">
      <t>シュ</t>
    </rPh>
    <phoneticPr fontId="2"/>
  </si>
  <si>
    <t>PHC　B種 φ350　L=9ｍ</t>
    <rPh sb="5" eb="6">
      <t>シュ</t>
    </rPh>
    <phoneticPr fontId="2"/>
  </si>
  <si>
    <t>PHC　B種 φ350　L=10ｍ</t>
    <rPh sb="5" eb="6">
      <t>シュ</t>
    </rPh>
    <phoneticPr fontId="2"/>
  </si>
  <si>
    <t>PHC　B種 φ350　L=11ｍ</t>
    <rPh sb="5" eb="6">
      <t>シュ</t>
    </rPh>
    <phoneticPr fontId="2"/>
  </si>
  <si>
    <t>PHC　B種 φ350　L=12ｍ</t>
    <rPh sb="5" eb="6">
      <t>シュ</t>
    </rPh>
    <phoneticPr fontId="2"/>
  </si>
  <si>
    <t>PHC　B種 φ350　L=13ｍ</t>
    <rPh sb="5" eb="6">
      <t>シュ</t>
    </rPh>
    <phoneticPr fontId="2"/>
  </si>
  <si>
    <t>PHC　B種 φ350　L=14ｍ</t>
    <rPh sb="5" eb="6">
      <t>シュ</t>
    </rPh>
    <phoneticPr fontId="2"/>
  </si>
  <si>
    <t>PHC　B種 φ350　L=15ｍ</t>
    <rPh sb="5" eb="6">
      <t>シュ</t>
    </rPh>
    <phoneticPr fontId="2"/>
  </si>
  <si>
    <t>PHC　C種 φ350　L=7ｍ</t>
    <rPh sb="5" eb="6">
      <t>シュ</t>
    </rPh>
    <phoneticPr fontId="2"/>
  </si>
  <si>
    <t>PHC　C種 φ350　L=8ｍ</t>
    <rPh sb="5" eb="6">
      <t>シュ</t>
    </rPh>
    <phoneticPr fontId="2"/>
  </si>
  <si>
    <t>PHC　C種 φ350　L=9ｍ</t>
    <rPh sb="5" eb="6">
      <t>シュ</t>
    </rPh>
    <phoneticPr fontId="2"/>
  </si>
  <si>
    <t>PHC　C種 φ350　L=10ｍ</t>
    <rPh sb="5" eb="6">
      <t>シュ</t>
    </rPh>
    <phoneticPr fontId="2"/>
  </si>
  <si>
    <t>PHC　C種 φ350　L=11ｍ</t>
    <rPh sb="5" eb="6">
      <t>シュ</t>
    </rPh>
    <phoneticPr fontId="2"/>
  </si>
  <si>
    <t>PHC　C種 φ350　L=12ｍ</t>
    <rPh sb="5" eb="6">
      <t>シュ</t>
    </rPh>
    <phoneticPr fontId="2"/>
  </si>
  <si>
    <t>PHC　C種 φ350　L=13ｍ</t>
    <rPh sb="5" eb="6">
      <t>シュ</t>
    </rPh>
    <phoneticPr fontId="2"/>
  </si>
  <si>
    <t>PHC　C種 φ350　L=14ｍ</t>
    <rPh sb="5" eb="6">
      <t>シュ</t>
    </rPh>
    <phoneticPr fontId="2"/>
  </si>
  <si>
    <t>PHC　C種 φ350　L=15ｍ</t>
    <rPh sb="5" eb="6">
      <t>シュ</t>
    </rPh>
    <phoneticPr fontId="2"/>
  </si>
  <si>
    <t>PHC　A種 φ400　L=7ｍ</t>
    <rPh sb="5" eb="6">
      <t>シュ</t>
    </rPh>
    <phoneticPr fontId="2"/>
  </si>
  <si>
    <t>PHC　A種 φ400　L=8ｍ</t>
    <rPh sb="5" eb="6">
      <t>シュ</t>
    </rPh>
    <phoneticPr fontId="2"/>
  </si>
  <si>
    <t>PHC　A種 φ400　L=9ｍ</t>
    <rPh sb="5" eb="6">
      <t>シュ</t>
    </rPh>
    <phoneticPr fontId="2"/>
  </si>
  <si>
    <t>PHC　A種 φ400　L=10ｍ</t>
    <rPh sb="5" eb="6">
      <t>シュ</t>
    </rPh>
    <phoneticPr fontId="2"/>
  </si>
  <si>
    <t>PHC　A種 φ400　L=11ｍ</t>
    <rPh sb="5" eb="6">
      <t>シュ</t>
    </rPh>
    <phoneticPr fontId="2"/>
  </si>
  <si>
    <t>PHC　A種 φ400　L=12ｍ</t>
    <rPh sb="5" eb="6">
      <t>シュ</t>
    </rPh>
    <phoneticPr fontId="2"/>
  </si>
  <si>
    <t>PHC　A種 φ400　L=13ｍ</t>
    <rPh sb="5" eb="6">
      <t>シュ</t>
    </rPh>
    <phoneticPr fontId="2"/>
  </si>
  <si>
    <t>PHC　A種 φ400　L=14ｍ</t>
    <rPh sb="5" eb="6">
      <t>シュ</t>
    </rPh>
    <phoneticPr fontId="2"/>
  </si>
  <si>
    <t>PHC　A種 φ400　L=15ｍ</t>
    <rPh sb="5" eb="6">
      <t>シュ</t>
    </rPh>
    <phoneticPr fontId="2"/>
  </si>
  <si>
    <t>PHC　B種 φ400　L=7ｍ</t>
    <rPh sb="5" eb="6">
      <t>シュ</t>
    </rPh>
    <phoneticPr fontId="2"/>
  </si>
  <si>
    <t>PHC　B種 φ400　L=8ｍ</t>
    <rPh sb="5" eb="6">
      <t>シュ</t>
    </rPh>
    <phoneticPr fontId="2"/>
  </si>
  <si>
    <t>PHC　B種 φ400　L=9ｍ</t>
    <rPh sb="5" eb="6">
      <t>シュ</t>
    </rPh>
    <phoneticPr fontId="2"/>
  </si>
  <si>
    <t>PHC　B種 φ400　L=10ｍ</t>
    <rPh sb="5" eb="6">
      <t>シュ</t>
    </rPh>
    <phoneticPr fontId="2"/>
  </si>
  <si>
    <t>PHC　B種 φ400　L=11ｍ</t>
    <rPh sb="5" eb="6">
      <t>シュ</t>
    </rPh>
    <phoneticPr fontId="2"/>
  </si>
  <si>
    <t>PHC　B種 φ400　L=12ｍ</t>
    <rPh sb="5" eb="6">
      <t>シュ</t>
    </rPh>
    <phoneticPr fontId="2"/>
  </si>
  <si>
    <t>PHC　B種 φ400　L=13ｍ</t>
    <rPh sb="5" eb="6">
      <t>シュ</t>
    </rPh>
    <phoneticPr fontId="2"/>
  </si>
  <si>
    <t>PHC　B種 φ400　L=14ｍ</t>
    <rPh sb="5" eb="6">
      <t>シュ</t>
    </rPh>
    <phoneticPr fontId="2"/>
  </si>
  <si>
    <t>PHC　B種 φ400　L=15ｍ</t>
    <rPh sb="5" eb="6">
      <t>シュ</t>
    </rPh>
    <phoneticPr fontId="2"/>
  </si>
  <si>
    <t>PHC　B種 φ400　L=16ｍ</t>
    <rPh sb="5" eb="6">
      <t>シュ</t>
    </rPh>
    <phoneticPr fontId="2"/>
  </si>
  <si>
    <t>PHC　B種 φ400　L=17ｍ</t>
    <rPh sb="5" eb="6">
      <t>シュ</t>
    </rPh>
    <phoneticPr fontId="2"/>
  </si>
  <si>
    <t>PHC　B種 φ400　L=18ｍ</t>
    <rPh sb="5" eb="6">
      <t>シュ</t>
    </rPh>
    <phoneticPr fontId="2"/>
  </si>
  <si>
    <t>PHC　B種 φ400　L=19ｍ</t>
    <rPh sb="5" eb="6">
      <t>シュ</t>
    </rPh>
    <phoneticPr fontId="2"/>
  </si>
  <si>
    <t>PHC　B種 φ400　L=20ｍ</t>
    <rPh sb="5" eb="6">
      <t>シュ</t>
    </rPh>
    <phoneticPr fontId="2"/>
  </si>
  <si>
    <t>PHC　B種 φ400　L=21ｍ</t>
    <rPh sb="5" eb="6">
      <t>シュ</t>
    </rPh>
    <phoneticPr fontId="2"/>
  </si>
  <si>
    <t>PHC　B種 φ400　L=22ｍ</t>
    <rPh sb="5" eb="6">
      <t>シュ</t>
    </rPh>
    <phoneticPr fontId="2"/>
  </si>
  <si>
    <t>PHC　B種 φ400　L=23ｍ</t>
    <rPh sb="5" eb="6">
      <t>シュ</t>
    </rPh>
    <phoneticPr fontId="2"/>
  </si>
  <si>
    <t>PHC　B種 φ400　L=24ｍ</t>
    <rPh sb="5" eb="6">
      <t>シュ</t>
    </rPh>
    <phoneticPr fontId="2"/>
  </si>
  <si>
    <t>PHC　A種 φ450　L=7ｍ</t>
    <rPh sb="5" eb="6">
      <t>シュ</t>
    </rPh>
    <phoneticPr fontId="2"/>
  </si>
  <si>
    <t>PHC　A種 φ450　L=8ｍ</t>
    <rPh sb="5" eb="6">
      <t>シュ</t>
    </rPh>
    <phoneticPr fontId="2"/>
  </si>
  <si>
    <t>PHC　A種 φ450　L=9ｍ</t>
    <rPh sb="5" eb="6">
      <t>シュ</t>
    </rPh>
    <phoneticPr fontId="2"/>
  </si>
  <si>
    <t>PHC　A種 φ450　L=10ｍ</t>
    <rPh sb="5" eb="6">
      <t>シュ</t>
    </rPh>
    <phoneticPr fontId="2"/>
  </si>
  <si>
    <t>PHC　A種 φ450　L=11ｍ</t>
    <rPh sb="5" eb="6">
      <t>シュ</t>
    </rPh>
    <phoneticPr fontId="2"/>
  </si>
  <si>
    <t>PHC　A種 φ450　L=12ｍ</t>
    <rPh sb="5" eb="6">
      <t>シュ</t>
    </rPh>
    <phoneticPr fontId="2"/>
  </si>
  <si>
    <t>PHC　A種 φ450　L=13ｍ</t>
    <rPh sb="5" eb="6">
      <t>シュ</t>
    </rPh>
    <phoneticPr fontId="2"/>
  </si>
  <si>
    <t>PHC　A種 φ450　L=14ｍ</t>
    <rPh sb="5" eb="6">
      <t>シュ</t>
    </rPh>
    <phoneticPr fontId="2"/>
  </si>
  <si>
    <t>PHC　A種 φ450　L=15ｍ</t>
    <rPh sb="5" eb="6">
      <t>シュ</t>
    </rPh>
    <phoneticPr fontId="2"/>
  </si>
  <si>
    <t>PHC　B種 φ450　L=7ｍ</t>
    <rPh sb="5" eb="6">
      <t>シュ</t>
    </rPh>
    <phoneticPr fontId="2"/>
  </si>
  <si>
    <t>PHC　B種 φ450　L=8ｍ</t>
    <rPh sb="5" eb="6">
      <t>シュ</t>
    </rPh>
    <phoneticPr fontId="2"/>
  </si>
  <si>
    <t>PHC　B種 φ450　L=9ｍ</t>
    <rPh sb="5" eb="6">
      <t>シュ</t>
    </rPh>
    <phoneticPr fontId="2"/>
  </si>
  <si>
    <t>PHC　B種 φ450　L=10ｍ</t>
    <rPh sb="5" eb="6">
      <t>シュ</t>
    </rPh>
    <phoneticPr fontId="2"/>
  </si>
  <si>
    <t>PHC　B種 φ450　L=11ｍ</t>
    <rPh sb="5" eb="6">
      <t>シュ</t>
    </rPh>
    <phoneticPr fontId="2"/>
  </si>
  <si>
    <t>PHC　B種 φ450　L=12ｍ</t>
    <rPh sb="5" eb="6">
      <t>シュ</t>
    </rPh>
    <phoneticPr fontId="2"/>
  </si>
  <si>
    <t>PHC　B種 φ450　L=13ｍ</t>
    <rPh sb="5" eb="6">
      <t>シュ</t>
    </rPh>
    <phoneticPr fontId="2"/>
  </si>
  <si>
    <t>PHC　B種 φ450　L=14ｍ</t>
    <rPh sb="5" eb="6">
      <t>シュ</t>
    </rPh>
    <phoneticPr fontId="2"/>
  </si>
  <si>
    <t>PHC　B種 φ450　L=15ｍ</t>
    <rPh sb="5" eb="6">
      <t>シュ</t>
    </rPh>
    <phoneticPr fontId="2"/>
  </si>
  <si>
    <t>PHC　A種 φ500　L=7ｍ</t>
    <rPh sb="5" eb="6">
      <t>シュ</t>
    </rPh>
    <phoneticPr fontId="2"/>
  </si>
  <si>
    <t>PHC　A種 φ500　L=8ｍ</t>
    <rPh sb="5" eb="6">
      <t>シュ</t>
    </rPh>
    <phoneticPr fontId="2"/>
  </si>
  <si>
    <t>PHC　A種 φ500　L=9ｍ</t>
    <rPh sb="5" eb="6">
      <t>シュ</t>
    </rPh>
    <phoneticPr fontId="2"/>
  </si>
  <si>
    <t>PHC　A種 φ500　L=10ｍ</t>
    <rPh sb="5" eb="6">
      <t>シュ</t>
    </rPh>
    <phoneticPr fontId="2"/>
  </si>
  <si>
    <t>PHC　A種 φ500　L=11ｍ</t>
    <rPh sb="5" eb="6">
      <t>シュ</t>
    </rPh>
    <phoneticPr fontId="2"/>
  </si>
  <si>
    <t>PHC　A種 φ500　L=12ｍ</t>
    <rPh sb="5" eb="6">
      <t>シュ</t>
    </rPh>
    <phoneticPr fontId="2"/>
  </si>
  <si>
    <t>PHC　A種 φ500　L=13ｍ</t>
    <rPh sb="5" eb="6">
      <t>シュ</t>
    </rPh>
    <phoneticPr fontId="2"/>
  </si>
  <si>
    <t>PHC　A種 φ500　L=14ｍ</t>
    <rPh sb="5" eb="6">
      <t>シュ</t>
    </rPh>
    <phoneticPr fontId="2"/>
  </si>
  <si>
    <t>PHC　A種 φ500　L=15ｍ</t>
    <rPh sb="5" eb="6">
      <t>シュ</t>
    </rPh>
    <phoneticPr fontId="2"/>
  </si>
  <si>
    <t>PHC　B種 φ500　L=7ｍ</t>
    <rPh sb="5" eb="6">
      <t>シュ</t>
    </rPh>
    <phoneticPr fontId="2"/>
  </si>
  <si>
    <t>PHC　B種 φ500　L=8ｍ</t>
    <rPh sb="5" eb="6">
      <t>シュ</t>
    </rPh>
    <phoneticPr fontId="2"/>
  </si>
  <si>
    <t>PHC　B種 φ500　L=9ｍ</t>
    <rPh sb="5" eb="6">
      <t>シュ</t>
    </rPh>
    <phoneticPr fontId="2"/>
  </si>
  <si>
    <t>PHC　B種 φ500　L=10ｍ</t>
    <rPh sb="5" eb="6">
      <t>シュ</t>
    </rPh>
    <phoneticPr fontId="2"/>
  </si>
  <si>
    <t>PHC　B種 φ500　L=11ｍ</t>
    <rPh sb="5" eb="6">
      <t>シュ</t>
    </rPh>
    <phoneticPr fontId="2"/>
  </si>
  <si>
    <t>PHC　B種 φ500　L=12ｍ</t>
    <rPh sb="5" eb="6">
      <t>シュ</t>
    </rPh>
    <phoneticPr fontId="2"/>
  </si>
  <si>
    <t>PHC　B種 φ500　L=13ｍ</t>
    <rPh sb="5" eb="6">
      <t>シュ</t>
    </rPh>
    <phoneticPr fontId="2"/>
  </si>
  <si>
    <t>PHC　B種 φ500　L=14ｍ</t>
    <rPh sb="5" eb="6">
      <t>シュ</t>
    </rPh>
    <phoneticPr fontId="2"/>
  </si>
  <si>
    <t>PHC　B種 φ500　L=15ｍ</t>
    <rPh sb="5" eb="6">
      <t>シュ</t>
    </rPh>
    <phoneticPr fontId="2"/>
  </si>
  <si>
    <t>PHC　C種 φ500　L=7ｍ</t>
    <rPh sb="5" eb="6">
      <t>シュ</t>
    </rPh>
    <phoneticPr fontId="2"/>
  </si>
  <si>
    <t>PHC　C種 φ500　L=8ｍ</t>
    <rPh sb="5" eb="6">
      <t>シュ</t>
    </rPh>
    <phoneticPr fontId="2"/>
  </si>
  <si>
    <t>PHC　C種 φ500　L=9ｍ</t>
    <rPh sb="5" eb="6">
      <t>シュ</t>
    </rPh>
    <phoneticPr fontId="2"/>
  </si>
  <si>
    <t>PHC　C種 φ500　L=10ｍ</t>
    <rPh sb="5" eb="6">
      <t>シュ</t>
    </rPh>
    <phoneticPr fontId="2"/>
  </si>
  <si>
    <t>PHC　C種 φ500　L=11ｍ</t>
    <rPh sb="5" eb="6">
      <t>シュ</t>
    </rPh>
    <phoneticPr fontId="2"/>
  </si>
  <si>
    <t>PHC　C種 φ500　L=12ｍ</t>
    <rPh sb="5" eb="6">
      <t>シュ</t>
    </rPh>
    <phoneticPr fontId="2"/>
  </si>
  <si>
    <t>PHC　C種 φ500　L=13ｍ</t>
    <rPh sb="5" eb="6">
      <t>シュ</t>
    </rPh>
    <phoneticPr fontId="2"/>
  </si>
  <si>
    <t>PHC　C種 φ500　L=14ｍ</t>
    <rPh sb="5" eb="6">
      <t>シュ</t>
    </rPh>
    <phoneticPr fontId="2"/>
  </si>
  <si>
    <t>PHC　C種 φ500　L=15ｍ</t>
    <rPh sb="5" eb="6">
      <t>シュ</t>
    </rPh>
    <phoneticPr fontId="2"/>
  </si>
  <si>
    <t>PHC　A種 φ600　L=7ｍ</t>
    <rPh sb="5" eb="6">
      <t>シュ</t>
    </rPh>
    <phoneticPr fontId="2"/>
  </si>
  <si>
    <t>PHC　A種 φ600　L=8ｍ</t>
    <rPh sb="5" eb="6">
      <t>シュ</t>
    </rPh>
    <phoneticPr fontId="2"/>
  </si>
  <si>
    <t>PHC　A種 φ600　L=9ｍ</t>
    <rPh sb="5" eb="6">
      <t>シュ</t>
    </rPh>
    <phoneticPr fontId="2"/>
  </si>
  <si>
    <t>PHC　A種 φ600　L=10ｍ</t>
    <rPh sb="5" eb="6">
      <t>シュ</t>
    </rPh>
    <phoneticPr fontId="2"/>
  </si>
  <si>
    <t>PHC　A種 φ600　L=11ｍ</t>
    <rPh sb="5" eb="6">
      <t>シュ</t>
    </rPh>
    <phoneticPr fontId="2"/>
  </si>
  <si>
    <t>PHC　A種 φ600　L=12ｍ</t>
    <rPh sb="5" eb="6">
      <t>シュ</t>
    </rPh>
    <phoneticPr fontId="2"/>
  </si>
  <si>
    <t>PHC　A種 φ600　L=13ｍ</t>
    <rPh sb="5" eb="6">
      <t>シュ</t>
    </rPh>
    <phoneticPr fontId="2"/>
  </si>
  <si>
    <t>PHC　A種 φ600　L=14ｍ</t>
    <rPh sb="5" eb="6">
      <t>シュ</t>
    </rPh>
    <phoneticPr fontId="2"/>
  </si>
  <si>
    <t>PHC　A種 φ600　L=15ｍ</t>
    <rPh sb="5" eb="6">
      <t>シュ</t>
    </rPh>
    <phoneticPr fontId="2"/>
  </si>
  <si>
    <t>PHC　B種 φ600　L=7ｍ</t>
    <rPh sb="5" eb="6">
      <t>シュ</t>
    </rPh>
    <phoneticPr fontId="2"/>
  </si>
  <si>
    <t>PHC　B種 φ600　L=8ｍ</t>
    <rPh sb="5" eb="6">
      <t>シュ</t>
    </rPh>
    <phoneticPr fontId="2"/>
  </si>
  <si>
    <t>PHC　B種 φ600　L=9ｍ</t>
    <rPh sb="5" eb="6">
      <t>シュ</t>
    </rPh>
    <phoneticPr fontId="2"/>
  </si>
  <si>
    <t>PHC　B種 φ600　L=10ｍ</t>
    <rPh sb="5" eb="6">
      <t>シュ</t>
    </rPh>
    <phoneticPr fontId="2"/>
  </si>
  <si>
    <t>PHC　B種 φ600　L=11ｍ</t>
    <rPh sb="5" eb="6">
      <t>シュ</t>
    </rPh>
    <phoneticPr fontId="2"/>
  </si>
  <si>
    <t>PHC　B種 φ600　L=12ｍ</t>
    <rPh sb="5" eb="6">
      <t>シュ</t>
    </rPh>
    <phoneticPr fontId="2"/>
  </si>
  <si>
    <t>PHC　B種 φ600　L=13ｍ</t>
    <rPh sb="5" eb="6">
      <t>シュ</t>
    </rPh>
    <phoneticPr fontId="2"/>
  </si>
  <si>
    <t>PHC　B種 φ600　L=14ｍ</t>
    <rPh sb="5" eb="6">
      <t>シュ</t>
    </rPh>
    <phoneticPr fontId="2"/>
  </si>
  <si>
    <t>PHC　B種 φ600　L=15ｍ</t>
    <rPh sb="5" eb="6">
      <t>シュ</t>
    </rPh>
    <phoneticPr fontId="2"/>
  </si>
  <si>
    <t>PHC　C種 φ600　L=7ｍ</t>
    <rPh sb="5" eb="6">
      <t>シュ</t>
    </rPh>
    <phoneticPr fontId="2"/>
  </si>
  <si>
    <t>PHC　C種 φ600　L=8ｍ</t>
    <rPh sb="5" eb="6">
      <t>シュ</t>
    </rPh>
    <phoneticPr fontId="2"/>
  </si>
  <si>
    <t>PHC　C種 φ600　L=9ｍ</t>
    <rPh sb="5" eb="6">
      <t>シュ</t>
    </rPh>
    <phoneticPr fontId="2"/>
  </si>
  <si>
    <t>PHC　C種 φ600　L=10ｍ</t>
    <rPh sb="5" eb="6">
      <t>シュ</t>
    </rPh>
    <phoneticPr fontId="2"/>
  </si>
  <si>
    <t>PHC　C種 φ600　L=11ｍ</t>
    <rPh sb="5" eb="6">
      <t>シュ</t>
    </rPh>
    <phoneticPr fontId="2"/>
  </si>
  <si>
    <t>PHC　C種 φ600　L=12ｍ</t>
    <rPh sb="5" eb="6">
      <t>シュ</t>
    </rPh>
    <phoneticPr fontId="2"/>
  </si>
  <si>
    <t>PHC　C種 φ600　L=13ｍ</t>
    <rPh sb="5" eb="6">
      <t>シュ</t>
    </rPh>
    <phoneticPr fontId="2"/>
  </si>
  <si>
    <t>PHC　C種 φ600　L=14ｍ</t>
    <rPh sb="5" eb="6">
      <t>シュ</t>
    </rPh>
    <phoneticPr fontId="2"/>
  </si>
  <si>
    <t>PHC　C種 φ600　L=15ｍ</t>
    <rPh sb="5" eb="6">
      <t>シュ</t>
    </rPh>
    <phoneticPr fontId="2"/>
  </si>
  <si>
    <t>Y0-X3</t>
  </si>
  <si>
    <t>Y0-X4</t>
  </si>
  <si>
    <t>Y0-X5</t>
  </si>
  <si>
    <t>セメントミルク工法</t>
    <rPh sb="7" eb="9">
      <t>コウホウ</t>
    </rPh>
    <phoneticPr fontId="2"/>
  </si>
  <si>
    <t>ＬRa＝1/3･(200・N・Ap+（10/3・Nｓ・Lｓ+１/2・ｑu・Lｃ）･φ)</t>
    <phoneticPr fontId="2"/>
  </si>
  <si>
    <t>φ</t>
  </si>
  <si>
    <t>Y0-X2</t>
  </si>
  <si>
    <t>Y1-X1</t>
  </si>
  <si>
    <t>Y2-X1</t>
  </si>
  <si>
    <t>Y2-X2</t>
  </si>
  <si>
    <t>Y3-X1</t>
  </si>
  <si>
    <t>Y3-X2</t>
  </si>
  <si>
    <t>Y0-X0</t>
    <phoneticPr fontId="2"/>
  </si>
  <si>
    <t>Y0-X1</t>
    <phoneticPr fontId="2"/>
  </si>
  <si>
    <t>Y1-X0</t>
    <phoneticPr fontId="2"/>
  </si>
  <si>
    <t>Y2-X0</t>
    <phoneticPr fontId="2"/>
  </si>
  <si>
    <t>Y3-X0</t>
    <phoneticPr fontId="2"/>
  </si>
  <si>
    <t>V</t>
    <phoneticPr fontId="2"/>
  </si>
  <si>
    <t>A</t>
    <phoneticPr fontId="2"/>
  </si>
  <si>
    <t>Df</t>
    <phoneticPr fontId="2"/>
  </si>
  <si>
    <t>FW</t>
    <phoneticPr fontId="2"/>
  </si>
  <si>
    <t>N</t>
    <phoneticPr fontId="2"/>
  </si>
  <si>
    <t>ＬＲa</t>
    <phoneticPr fontId="2"/>
  </si>
  <si>
    <t>ｎ</t>
    <phoneticPr fontId="2"/>
  </si>
  <si>
    <t>LRa・n</t>
    <phoneticPr fontId="2"/>
  </si>
  <si>
    <t>N/(LRa・n)</t>
    <phoneticPr fontId="2"/>
  </si>
  <si>
    <t>E_X</t>
    <phoneticPr fontId="2"/>
  </si>
  <si>
    <t>E_Y</t>
    <phoneticPr fontId="2"/>
  </si>
  <si>
    <t>E(max)</t>
    <phoneticPr fontId="2"/>
  </si>
  <si>
    <t>V+E(max)</t>
    <phoneticPr fontId="2"/>
  </si>
  <si>
    <t>SＲa</t>
    <phoneticPr fontId="2"/>
  </si>
  <si>
    <t>SＲa・ｎ</t>
    <phoneticPr fontId="2"/>
  </si>
  <si>
    <t>N/(sRa・n)</t>
    <phoneticPr fontId="2"/>
  </si>
  <si>
    <t>N1</t>
    <phoneticPr fontId="2"/>
  </si>
  <si>
    <t>MAXor</t>
    <phoneticPr fontId="2"/>
  </si>
  <si>
    <t>N2</t>
    <phoneticPr fontId="2"/>
  </si>
  <si>
    <t>MIN</t>
    <phoneticPr fontId="2"/>
  </si>
  <si>
    <t>N1/n</t>
    <phoneticPr fontId="2"/>
  </si>
  <si>
    <t>N2/n</t>
    <phoneticPr fontId="2"/>
  </si>
  <si>
    <t>Ｖ：</t>
    <phoneticPr fontId="2"/>
  </si>
  <si>
    <t>Df:</t>
    <phoneticPr fontId="2"/>
  </si>
  <si>
    <t>ＬＲa：</t>
    <phoneticPr fontId="2"/>
  </si>
  <si>
    <t>N1:</t>
    <phoneticPr fontId="2"/>
  </si>
  <si>
    <t>N2=V+Emax+Fw (kN/本)</t>
    <phoneticPr fontId="2"/>
  </si>
  <si>
    <t>E(max)：</t>
    <phoneticPr fontId="2"/>
  </si>
  <si>
    <t>FW:</t>
    <phoneticPr fontId="2"/>
  </si>
  <si>
    <t>SＲa：</t>
    <phoneticPr fontId="2"/>
  </si>
  <si>
    <t>N2:</t>
    <phoneticPr fontId="2"/>
  </si>
  <si>
    <t>N3=V-Emax+Fw (kN/本)</t>
    <phoneticPr fontId="2"/>
  </si>
  <si>
    <t>Ａ：</t>
    <phoneticPr fontId="2"/>
  </si>
  <si>
    <t>ｎ:</t>
    <phoneticPr fontId="2"/>
  </si>
  <si>
    <t>V</t>
    <phoneticPr fontId="2"/>
  </si>
  <si>
    <t>A</t>
    <phoneticPr fontId="2"/>
  </si>
  <si>
    <t>Df</t>
    <phoneticPr fontId="2"/>
  </si>
  <si>
    <t>E_X</t>
    <phoneticPr fontId="2"/>
  </si>
  <si>
    <t>E_Y</t>
    <phoneticPr fontId="2"/>
  </si>
  <si>
    <t>E(max)</t>
    <phoneticPr fontId="2"/>
  </si>
  <si>
    <t>V+E(max)</t>
    <phoneticPr fontId="2"/>
  </si>
  <si>
    <t>SＲa</t>
    <phoneticPr fontId="2"/>
  </si>
  <si>
    <t>SＲa・ｎ</t>
    <phoneticPr fontId="2"/>
  </si>
  <si>
    <t>N/(sRa・n)</t>
    <phoneticPr fontId="2"/>
  </si>
  <si>
    <t>採用</t>
    <rPh sb="0" eb="2">
      <t>サイヨウ</t>
    </rPh>
    <phoneticPr fontId="2"/>
  </si>
  <si>
    <t>基礎符号</t>
    <rPh sb="2" eb="4">
      <t>フゴウ</t>
    </rPh>
    <phoneticPr fontId="2"/>
  </si>
  <si>
    <t>ｺﾝｸﾘｰﾄの設計基準強度</t>
    <rPh sb="7" eb="9">
      <t>セッケイ</t>
    </rPh>
    <rPh sb="9" eb="11">
      <t>キジュン</t>
    </rPh>
    <rPh sb="11" eb="13">
      <t>キョウド</t>
    </rPh>
    <phoneticPr fontId="2"/>
  </si>
  <si>
    <r>
      <t>(N/mm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2"/>
  </si>
  <si>
    <t>鉄筋の種類</t>
    <rPh sb="3" eb="5">
      <t>シュルイ</t>
    </rPh>
    <phoneticPr fontId="2"/>
  </si>
  <si>
    <t>D16以上</t>
    <rPh sb="3" eb="5">
      <t>イジョウ</t>
    </rPh>
    <phoneticPr fontId="2"/>
  </si>
  <si>
    <t>ｺﾝｸﾘｰﾄの許容圧縮応力度</t>
    <rPh sb="7" eb="9">
      <t>キョヨウ</t>
    </rPh>
    <rPh sb="11" eb="14">
      <t>オウリョクド</t>
    </rPh>
    <phoneticPr fontId="2"/>
  </si>
  <si>
    <r>
      <t>(N/mm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2"/>
  </si>
  <si>
    <t>ｺﾝｸﾘｰﾄの許容せん断応力度</t>
    <rPh sb="7" eb="9">
      <t>キョヨウ</t>
    </rPh>
    <rPh sb="9" eb="12">
      <t>センダン</t>
    </rPh>
    <rPh sb="12" eb="15">
      <t>オウリョクド</t>
    </rPh>
    <phoneticPr fontId="2"/>
  </si>
  <si>
    <t xml:space="preserve">柱軸方向圧縮力 </t>
    <rPh sb="0" eb="1">
      <t>ハシラ</t>
    </rPh>
    <rPh sb="1" eb="4">
      <t>ジクホウコウ</t>
    </rPh>
    <rPh sb="4" eb="6">
      <t>アッシュク</t>
    </rPh>
    <rPh sb="6" eb="7">
      <t>リョク</t>
    </rPh>
    <phoneticPr fontId="2"/>
  </si>
  <si>
    <t>N'</t>
    <phoneticPr fontId="2"/>
  </si>
  <si>
    <t>杭本数</t>
    <phoneticPr fontId="2"/>
  </si>
  <si>
    <t>n</t>
    <phoneticPr fontId="2"/>
  </si>
  <si>
    <t>X</t>
    <phoneticPr fontId="2"/>
  </si>
  <si>
    <t>Y</t>
    <phoneticPr fontId="2"/>
  </si>
  <si>
    <t>フーチング巾</t>
    <rPh sb="5" eb="6">
      <t>ハバ</t>
    </rPh>
    <phoneticPr fontId="2"/>
  </si>
  <si>
    <r>
      <t>(N/mm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2"/>
  </si>
  <si>
    <t>柱面より杭芯までの距離</t>
    <rPh sb="0" eb="1">
      <t>ハシラ</t>
    </rPh>
    <rPh sb="1" eb="2">
      <t>メン</t>
    </rPh>
    <rPh sb="4" eb="5">
      <t>クイ</t>
    </rPh>
    <rPh sb="5" eb="6">
      <t>シン</t>
    </rPh>
    <rPh sb="9" eb="11">
      <t>キョリ</t>
    </rPh>
    <phoneticPr fontId="2"/>
  </si>
  <si>
    <t>鉄筋の許容引張応力度</t>
    <rPh sb="3" eb="5">
      <t>キョヨウ</t>
    </rPh>
    <rPh sb="5" eb="7">
      <t>ヒッパリ</t>
    </rPh>
    <rPh sb="7" eb="10">
      <t>オウリョクド</t>
    </rPh>
    <phoneticPr fontId="2"/>
  </si>
  <si>
    <r>
      <t>(mm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2"/>
  </si>
  <si>
    <t>付着検定断面における鉄筋の存在応力度</t>
    <rPh sb="0" eb="2">
      <t>フチャク</t>
    </rPh>
    <rPh sb="2" eb="4">
      <t>ケンテイ</t>
    </rPh>
    <rPh sb="4" eb="6">
      <t>ダンメン</t>
    </rPh>
    <rPh sb="10" eb="12">
      <t>テッキン</t>
    </rPh>
    <rPh sb="13" eb="15">
      <t>ソンザイ</t>
    </rPh>
    <rPh sb="15" eb="18">
      <t>オウリョクド</t>
    </rPh>
    <phoneticPr fontId="2"/>
  </si>
  <si>
    <t>σt=σtx2/3</t>
    <phoneticPr fontId="2"/>
  </si>
  <si>
    <t>C</t>
    <phoneticPr fontId="2"/>
  </si>
  <si>
    <t>K</t>
    <phoneticPr fontId="2"/>
  </si>
  <si>
    <t>鉄筋の必要付着応力度</t>
    <rPh sb="3" eb="5">
      <t>ヒツヨウ</t>
    </rPh>
    <rPh sb="5" eb="7">
      <t>フチャク</t>
    </rPh>
    <rPh sb="7" eb="10">
      <t>オウリョクド</t>
    </rPh>
    <phoneticPr fontId="2"/>
  </si>
  <si>
    <r>
      <t>(N/mm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2"/>
  </si>
  <si>
    <t>鉄筋の必要付着長さ</t>
    <rPh sb="0" eb="2">
      <t>テッキン</t>
    </rPh>
    <rPh sb="3" eb="5">
      <t>ヒツヨウ</t>
    </rPh>
    <rPh sb="5" eb="7">
      <t>フチャク</t>
    </rPh>
    <rPh sb="7" eb="8">
      <t>ナガ</t>
    </rPh>
    <phoneticPr fontId="2"/>
  </si>
  <si>
    <t>ldb=σtAs/(4Kfb)</t>
    <phoneticPr fontId="2"/>
  </si>
  <si>
    <t>(mm)</t>
    <phoneticPr fontId="2"/>
  </si>
  <si>
    <t>F2</t>
    <phoneticPr fontId="2"/>
  </si>
  <si>
    <t>7-D13</t>
    <phoneticPr fontId="2"/>
  </si>
  <si>
    <t>F3</t>
    <phoneticPr fontId="2"/>
  </si>
  <si>
    <t>7-D13</t>
    <phoneticPr fontId="2"/>
  </si>
  <si>
    <t>A-2</t>
  </si>
  <si>
    <t>A-3</t>
  </si>
  <si>
    <t>A-4</t>
  </si>
  <si>
    <t>A-5</t>
  </si>
  <si>
    <t>A-6</t>
  </si>
  <si>
    <t>B-1</t>
    <phoneticPr fontId="2"/>
  </si>
  <si>
    <t>B-2</t>
  </si>
  <si>
    <t>B-3</t>
  </si>
  <si>
    <t>B-4</t>
  </si>
  <si>
    <t>B-5</t>
  </si>
  <si>
    <t>B-6</t>
  </si>
  <si>
    <t>B-7</t>
  </si>
  <si>
    <t>C-1</t>
    <phoneticPr fontId="2"/>
  </si>
  <si>
    <t>C-2</t>
  </si>
  <si>
    <t>C-3</t>
  </si>
  <si>
    <t>C-4</t>
  </si>
  <si>
    <t>C-5</t>
  </si>
  <si>
    <t>C-6</t>
  </si>
  <si>
    <t>C-7</t>
  </si>
  <si>
    <t>D-1</t>
    <phoneticPr fontId="2"/>
  </si>
  <si>
    <t>D-2</t>
  </si>
  <si>
    <t>D-3</t>
  </si>
  <si>
    <t>D-4</t>
  </si>
  <si>
    <t>D-5</t>
  </si>
  <si>
    <t>D-6</t>
  </si>
  <si>
    <t>D-7</t>
  </si>
  <si>
    <t>E-1</t>
    <phoneticPr fontId="2"/>
  </si>
  <si>
    <t>E-2</t>
  </si>
  <si>
    <t>E-3</t>
  </si>
  <si>
    <t>E-4</t>
  </si>
  <si>
    <t>E-5</t>
  </si>
  <si>
    <t>E-6</t>
  </si>
  <si>
    <t>E-7</t>
  </si>
  <si>
    <t xml:space="preserve">5．基礎スラブの断面算定  </t>
    <phoneticPr fontId="2"/>
  </si>
  <si>
    <t>PHC30A</t>
    <phoneticPr fontId="2"/>
  </si>
  <si>
    <t>PHC35B</t>
    <phoneticPr fontId="2"/>
  </si>
  <si>
    <t>PHC45B</t>
    <phoneticPr fontId="2"/>
  </si>
  <si>
    <t>PHC60B</t>
    <phoneticPr fontId="2"/>
  </si>
  <si>
    <t>PHC50B</t>
    <phoneticPr fontId="2"/>
  </si>
  <si>
    <t>Ｌ</t>
    <phoneticPr fontId="2"/>
  </si>
  <si>
    <t>Ｄ</t>
    <phoneticPr fontId="2"/>
  </si>
  <si>
    <t>A</t>
    <phoneticPr fontId="2"/>
  </si>
  <si>
    <t>I</t>
    <phoneticPr fontId="2"/>
  </si>
  <si>
    <t>Z</t>
    <phoneticPr fontId="2"/>
  </si>
  <si>
    <t>σｅ</t>
    <phoneticPr fontId="2"/>
  </si>
  <si>
    <t>μ</t>
    <phoneticPr fontId="2"/>
  </si>
  <si>
    <t>Lfc</t>
    <phoneticPr fontId="2"/>
  </si>
  <si>
    <t>Sfc</t>
    <phoneticPr fontId="2"/>
  </si>
  <si>
    <t>ＬＮａ</t>
    <phoneticPr fontId="2"/>
  </si>
  <si>
    <t>ＳＮａ</t>
    <phoneticPr fontId="2"/>
  </si>
  <si>
    <t>Lfｂ</t>
    <phoneticPr fontId="2"/>
  </si>
  <si>
    <t>Sfｂ</t>
    <phoneticPr fontId="2"/>
  </si>
  <si>
    <t>PHC30A</t>
    <phoneticPr fontId="2"/>
  </si>
  <si>
    <t>PHC35B</t>
    <phoneticPr fontId="2"/>
  </si>
  <si>
    <t>PHC45B</t>
    <phoneticPr fontId="2"/>
  </si>
  <si>
    <t>PHC50B</t>
    <phoneticPr fontId="2"/>
  </si>
  <si>
    <t>PHC60B</t>
    <phoneticPr fontId="2"/>
  </si>
  <si>
    <t>（mm）</t>
    <phoneticPr fontId="2"/>
  </si>
  <si>
    <t>Lfc：</t>
    <phoneticPr fontId="2"/>
  </si>
  <si>
    <t>L：</t>
    <phoneticPr fontId="2"/>
  </si>
  <si>
    <t>(m)</t>
    <phoneticPr fontId="2"/>
  </si>
  <si>
    <t>Sfc：</t>
    <phoneticPr fontId="2"/>
  </si>
  <si>
    <r>
      <t>(N/mm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2"/>
  </si>
  <si>
    <t>A：</t>
    <phoneticPr fontId="2"/>
  </si>
  <si>
    <r>
      <t>(mm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2"/>
  </si>
  <si>
    <t>ＬＮａ：</t>
    <phoneticPr fontId="2"/>
  </si>
  <si>
    <t>（kN)</t>
    <phoneticPr fontId="2"/>
  </si>
  <si>
    <t>ＬＮａ＝（Lｆｃ-σｅ）Ａ</t>
    <phoneticPr fontId="2"/>
  </si>
  <si>
    <t>I：</t>
    <phoneticPr fontId="2"/>
  </si>
  <si>
    <r>
      <t>（mm</t>
    </r>
    <r>
      <rPr>
        <vertAlign val="superscript"/>
        <sz val="10"/>
        <rFont val="ＭＳ Ｐ明朝"/>
        <family val="1"/>
        <charset val="128"/>
      </rPr>
      <t>4</t>
    </r>
    <r>
      <rPr>
        <sz val="10"/>
        <rFont val="ＭＳ Ｐ明朝"/>
        <family val="1"/>
        <charset val="128"/>
      </rPr>
      <t>)</t>
    </r>
    <phoneticPr fontId="2"/>
  </si>
  <si>
    <t>ＳＮａ：</t>
    <phoneticPr fontId="2"/>
  </si>
  <si>
    <t>（kN)</t>
    <phoneticPr fontId="2"/>
  </si>
  <si>
    <t>SＮａ＝（Sｆｃ-σｅ）Ａ</t>
    <phoneticPr fontId="2"/>
  </si>
  <si>
    <t>Z：</t>
    <phoneticPr fontId="2"/>
  </si>
  <si>
    <r>
      <t>(mm</t>
    </r>
    <r>
      <rPr>
        <vertAlign val="superscript"/>
        <sz val="10"/>
        <rFont val="ＭＳ Ｐ明朝"/>
        <family val="1"/>
        <charset val="128"/>
      </rPr>
      <t>3</t>
    </r>
    <r>
      <rPr>
        <sz val="10"/>
        <rFont val="ＭＳ Ｐ明朝"/>
        <family val="1"/>
        <charset val="128"/>
      </rPr>
      <t>)</t>
    </r>
    <phoneticPr fontId="2"/>
  </si>
  <si>
    <t>Lfｂ：</t>
    <phoneticPr fontId="2"/>
  </si>
  <si>
    <r>
      <t>(N/mm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2"/>
  </si>
  <si>
    <t>σｅ：</t>
    <phoneticPr fontId="2"/>
  </si>
  <si>
    <r>
      <t>(N/mm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2"/>
  </si>
  <si>
    <t>Sfｂ：</t>
    <phoneticPr fontId="2"/>
  </si>
  <si>
    <r>
      <t>(N/mm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2"/>
  </si>
  <si>
    <t>μ：</t>
    <phoneticPr fontId="2"/>
  </si>
  <si>
    <t>μ＝L/D-ｎ(％)</t>
    <phoneticPr fontId="2"/>
  </si>
  <si>
    <t>ｎ：</t>
    <phoneticPr fontId="2"/>
  </si>
  <si>
    <t>Ap</t>
    <phoneticPr fontId="2"/>
  </si>
  <si>
    <t>Ｎ</t>
    <phoneticPr fontId="2"/>
  </si>
  <si>
    <t>Ls</t>
    <phoneticPr fontId="2"/>
  </si>
  <si>
    <t>Ｎｓ</t>
    <phoneticPr fontId="2"/>
  </si>
  <si>
    <t>Ｌｃ</t>
    <phoneticPr fontId="2"/>
  </si>
  <si>
    <t>ｑｕ</t>
    <phoneticPr fontId="2"/>
  </si>
  <si>
    <t>qp</t>
    <phoneticPr fontId="2"/>
  </si>
  <si>
    <t>RF</t>
    <phoneticPr fontId="2"/>
  </si>
  <si>
    <t>ＬRa</t>
    <phoneticPr fontId="2"/>
  </si>
  <si>
    <t>ｓRa</t>
    <phoneticPr fontId="2"/>
  </si>
  <si>
    <t>(m)</t>
    <phoneticPr fontId="2"/>
  </si>
  <si>
    <t>ＬＲa：</t>
    <phoneticPr fontId="2"/>
  </si>
  <si>
    <t>（kN）</t>
    <phoneticPr fontId="2"/>
  </si>
  <si>
    <t>ＬRa＝1/3･(200・N・Ap+（10/3・Nｓ・Lｓ+１/2・ｑu・Lｃ）･φ)</t>
    <phoneticPr fontId="2"/>
  </si>
  <si>
    <t>Ｌ：</t>
    <phoneticPr fontId="2"/>
  </si>
  <si>
    <t>(m)</t>
    <phoneticPr fontId="2"/>
  </si>
  <si>
    <t>φ：</t>
    <phoneticPr fontId="2"/>
  </si>
  <si>
    <t>(m)</t>
    <phoneticPr fontId="2"/>
  </si>
  <si>
    <t>N：</t>
    <phoneticPr fontId="2"/>
  </si>
  <si>
    <t>Aｐ：</t>
    <phoneticPr fontId="2"/>
  </si>
  <si>
    <r>
      <t>(m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2"/>
  </si>
  <si>
    <t>Ls：</t>
    <phoneticPr fontId="2"/>
  </si>
  <si>
    <t>(m)</t>
    <phoneticPr fontId="2"/>
  </si>
  <si>
    <t>SＲa：</t>
    <phoneticPr fontId="2"/>
  </si>
  <si>
    <t>Ns：</t>
    <phoneticPr fontId="2"/>
  </si>
  <si>
    <t>ｓRa=２・ＬＲa</t>
    <phoneticPr fontId="2"/>
  </si>
  <si>
    <t>Lc：</t>
    <phoneticPr fontId="2"/>
  </si>
  <si>
    <t>qp：</t>
    <phoneticPr fontId="2"/>
  </si>
  <si>
    <t>qu：</t>
    <phoneticPr fontId="2"/>
  </si>
  <si>
    <r>
      <t>（kN/m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2"/>
  </si>
  <si>
    <t>RF：</t>
    <phoneticPr fontId="2"/>
  </si>
  <si>
    <t>（kN）</t>
    <phoneticPr fontId="2"/>
  </si>
  <si>
    <t>Ｎｃ：</t>
    <phoneticPr fontId="2"/>
  </si>
  <si>
    <t>qu=Nc/8=</t>
    <phoneticPr fontId="2"/>
  </si>
  <si>
    <r>
      <t>（kN/m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2"/>
  </si>
  <si>
    <t>(m)</t>
    <phoneticPr fontId="2"/>
  </si>
  <si>
    <t>Sfc：</t>
    <phoneticPr fontId="2"/>
  </si>
  <si>
    <t>RF：</t>
    <phoneticPr fontId="2"/>
  </si>
  <si>
    <t>深度</t>
    <rPh sb="0" eb="2">
      <t>シンド</t>
    </rPh>
    <phoneticPr fontId="2"/>
  </si>
  <si>
    <t>N値</t>
    <rPh sb="1" eb="2">
      <t>チ</t>
    </rPh>
    <phoneticPr fontId="2"/>
  </si>
  <si>
    <t>先端</t>
    <rPh sb="0" eb="2">
      <t>センタン</t>
    </rPh>
    <phoneticPr fontId="2"/>
  </si>
  <si>
    <t>UP</t>
    <phoneticPr fontId="2"/>
  </si>
  <si>
    <t>DOWN</t>
    <phoneticPr fontId="2"/>
  </si>
  <si>
    <t>杭頭高さ</t>
    <rPh sb="0" eb="2">
      <t>クイトウ</t>
    </rPh>
    <rPh sb="2" eb="3">
      <t>タカ</t>
    </rPh>
    <phoneticPr fontId="2"/>
  </si>
  <si>
    <t>層数</t>
    <rPh sb="0" eb="1">
      <t>ソウ</t>
    </rPh>
    <rPh sb="1" eb="2">
      <t>スウ</t>
    </rPh>
    <phoneticPr fontId="11"/>
  </si>
  <si>
    <t>深度</t>
    <rPh sb="0" eb="2">
      <t>シンド</t>
    </rPh>
    <phoneticPr fontId="11"/>
  </si>
  <si>
    <t>層厚</t>
    <rPh sb="0" eb="2">
      <t>ソウアツ</t>
    </rPh>
    <phoneticPr fontId="11"/>
  </si>
  <si>
    <t>層深さ</t>
    <rPh sb="0" eb="1">
      <t>ソウ</t>
    </rPh>
    <rPh sb="1" eb="2">
      <t>フカ</t>
    </rPh>
    <phoneticPr fontId="11"/>
  </si>
  <si>
    <t>N値</t>
    <rPh sb="1" eb="2">
      <t>チ</t>
    </rPh>
    <phoneticPr fontId="11"/>
  </si>
  <si>
    <t>深さ</t>
    <rPh sb="0" eb="1">
      <t>フカ</t>
    </rPh>
    <phoneticPr fontId="11"/>
  </si>
  <si>
    <t>土質</t>
    <rPh sb="0" eb="2">
      <t>ドシツ</t>
    </rPh>
    <phoneticPr fontId="11"/>
  </si>
  <si>
    <t>土質sy</t>
    <rPh sb="0" eb="2">
      <t>ドシツ</t>
    </rPh>
    <phoneticPr fontId="11"/>
  </si>
  <si>
    <t>層厚(t)</t>
    <rPh sb="0" eb="1">
      <t>ソウ</t>
    </rPh>
    <rPh sb="1" eb="2">
      <t>アツ</t>
    </rPh>
    <phoneticPr fontId="11"/>
  </si>
  <si>
    <t>層平均Ns</t>
    <rPh sb="0" eb="1">
      <t>ソウ</t>
    </rPh>
    <rPh sb="1" eb="3">
      <t>ヘイキン</t>
    </rPh>
    <phoneticPr fontId="11"/>
  </si>
  <si>
    <t>t*Ns</t>
    <phoneticPr fontId="11"/>
  </si>
  <si>
    <t>層平均Nc</t>
    <rPh sb="0" eb="1">
      <t>ソウ</t>
    </rPh>
    <rPh sb="1" eb="3">
      <t>ヘイキン</t>
    </rPh>
    <phoneticPr fontId="11"/>
  </si>
  <si>
    <t>t*Nc</t>
    <phoneticPr fontId="11"/>
  </si>
  <si>
    <t>nece</t>
    <phoneticPr fontId="11"/>
  </si>
  <si>
    <t>杭径</t>
    <rPh sb="0" eb="2">
      <t>クイケイ</t>
    </rPh>
    <phoneticPr fontId="11"/>
  </si>
  <si>
    <t>盛土（粘土）</t>
    <rPh sb="0" eb="2">
      <t>モリド</t>
    </rPh>
    <rPh sb="3" eb="5">
      <t>ネンド</t>
    </rPh>
    <phoneticPr fontId="11"/>
  </si>
  <si>
    <t>-</t>
    <phoneticPr fontId="11"/>
  </si>
  <si>
    <t>盛土（粘土）</t>
    <phoneticPr fontId="11"/>
  </si>
  <si>
    <t>杭天</t>
    <rPh sb="0" eb="1">
      <t>クイ</t>
    </rPh>
    <rPh sb="1" eb="2">
      <t>テン</t>
    </rPh>
    <phoneticPr fontId="11"/>
  </si>
  <si>
    <t>砂質シルト</t>
    <rPh sb="0" eb="2">
      <t>サシツ</t>
    </rPh>
    <phoneticPr fontId="11"/>
  </si>
  <si>
    <t>c</t>
    <phoneticPr fontId="11"/>
  </si>
  <si>
    <t>杭長</t>
    <rPh sb="0" eb="1">
      <t>クイ</t>
    </rPh>
    <rPh sb="1" eb="2">
      <t>チョウ</t>
    </rPh>
    <phoneticPr fontId="11"/>
  </si>
  <si>
    <t>シルト質粘土</t>
    <rPh sb="3" eb="4">
      <t>シツ</t>
    </rPh>
    <rPh sb="4" eb="6">
      <t>ネンド</t>
    </rPh>
    <phoneticPr fontId="11"/>
  </si>
  <si>
    <t>s</t>
    <phoneticPr fontId="11"/>
  </si>
  <si>
    <t>砂質シルト</t>
    <phoneticPr fontId="11"/>
  </si>
  <si>
    <t>up 4d</t>
    <phoneticPr fontId="11"/>
  </si>
  <si>
    <t>泥岩</t>
    <rPh sb="0" eb="2">
      <t>デイガン</t>
    </rPh>
    <phoneticPr fontId="11"/>
  </si>
  <si>
    <t>杭先端</t>
    <rPh sb="0" eb="1">
      <t>クイ</t>
    </rPh>
    <rPh sb="1" eb="3">
      <t>センタン</t>
    </rPh>
    <phoneticPr fontId="11"/>
  </si>
  <si>
    <t>砂岩</t>
    <rPh sb="0" eb="2">
      <t>サガン</t>
    </rPh>
    <phoneticPr fontId="11"/>
  </si>
  <si>
    <t>シルト質粘土</t>
    <phoneticPr fontId="11"/>
  </si>
  <si>
    <t>down_1d</t>
    <phoneticPr fontId="11"/>
  </si>
  <si>
    <t>α</t>
    <phoneticPr fontId="11"/>
  </si>
  <si>
    <t>N_</t>
    <phoneticPr fontId="11"/>
  </si>
  <si>
    <t>泥岩</t>
    <phoneticPr fontId="11"/>
  </si>
  <si>
    <t>qp</t>
    <phoneticPr fontId="11"/>
  </si>
  <si>
    <t>Ap</t>
    <phoneticPr fontId="11"/>
  </si>
  <si>
    <t>qp*Ap</t>
    <phoneticPr fontId="11"/>
  </si>
  <si>
    <t>Ns</t>
    <phoneticPr fontId="11"/>
  </si>
  <si>
    <t>Ls</t>
    <phoneticPr fontId="11"/>
  </si>
  <si>
    <t>①=10/3*Ns*Ls</t>
    <phoneticPr fontId="11"/>
  </si>
  <si>
    <t>砂岩</t>
    <phoneticPr fontId="11"/>
  </si>
  <si>
    <t>qu</t>
    <phoneticPr fontId="11"/>
  </si>
  <si>
    <t>Lc</t>
    <phoneticPr fontId="11"/>
  </si>
  <si>
    <t>②=1/2*qu*Lc</t>
    <phoneticPr fontId="11"/>
  </si>
  <si>
    <t>RF=①+②=</t>
    <phoneticPr fontId="11"/>
  </si>
  <si>
    <t>10/3*Ns*Ls=</t>
    <phoneticPr fontId="11"/>
  </si>
  <si>
    <t>qu=1/8*N*100=</t>
    <phoneticPr fontId="11"/>
  </si>
  <si>
    <t>1/3*RF*φ=</t>
    <phoneticPr fontId="11"/>
  </si>
  <si>
    <t>1/2*qu=</t>
    <phoneticPr fontId="11"/>
  </si>
  <si>
    <t>Ra=qp*Ap+1/3*RF*φ=</t>
    <phoneticPr fontId="11"/>
  </si>
  <si>
    <t>GL</t>
    <phoneticPr fontId="2"/>
  </si>
  <si>
    <t>深さ</t>
    <rPh sb="0" eb="1">
      <t>フカ</t>
    </rPh>
    <phoneticPr fontId="2"/>
  </si>
  <si>
    <t>N値</t>
    <rPh sb="1" eb="2">
      <t>チ</t>
    </rPh>
    <phoneticPr fontId="2"/>
  </si>
  <si>
    <t>L</t>
    <phoneticPr fontId="2"/>
  </si>
  <si>
    <t>Na</t>
    <phoneticPr fontId="2"/>
  </si>
  <si>
    <t>∑L=</t>
  </si>
  <si>
    <t>A=L＊Na</t>
    <phoneticPr fontId="2"/>
  </si>
  <si>
    <t>∑A=</t>
  </si>
  <si>
    <t>Na=∑A/∑L=</t>
  </si>
  <si>
    <t>α</t>
    <phoneticPr fontId="2"/>
  </si>
  <si>
    <r>
      <rPr>
        <u/>
        <sz val="11"/>
        <rFont val="Meiryo UI"/>
        <family val="3"/>
        <charset val="128"/>
      </rPr>
      <t>会員各位</t>
    </r>
  </si>
  <si>
    <r>
      <rPr>
        <sz val="11"/>
        <rFont val="Meiryo UI"/>
        <family val="3"/>
        <charset val="128"/>
      </rPr>
      <t>外径
D
(mm)</t>
    </r>
  </si>
  <si>
    <r>
      <rPr>
        <sz val="11"/>
        <rFont val="Meiryo UI"/>
        <family val="3"/>
        <charset val="128"/>
      </rPr>
      <t>厚さ
t (mm)</t>
    </r>
  </si>
  <si>
    <t>区分</t>
  </si>
  <si>
    <t>PC鋼材</t>
  </si>
  <si>
    <t>断面積</t>
  </si>
  <si>
    <r>
      <rPr>
        <sz val="11"/>
        <rFont val="Meiryo UI"/>
        <family val="3"/>
        <charset val="128"/>
      </rPr>
      <t>断面1次 ﾓｰﾒﾝﾄ Ae
×10</t>
    </r>
    <r>
      <rPr>
        <vertAlign val="superscript"/>
        <sz val="11"/>
        <rFont val="Meiryo UI"/>
        <family val="3"/>
        <charset val="128"/>
      </rPr>
      <t xml:space="preserve">3
</t>
    </r>
    <r>
      <rPr>
        <sz val="11"/>
        <rFont val="Meiryo UI"/>
        <family val="3"/>
        <charset val="128"/>
      </rPr>
      <t>(mm</t>
    </r>
    <r>
      <rPr>
        <vertAlign val="superscript"/>
        <sz val="11"/>
        <rFont val="Meiryo UI"/>
        <family val="3"/>
        <charset val="128"/>
      </rPr>
      <t>2</t>
    </r>
    <r>
      <rPr>
        <sz val="11"/>
        <rFont val="Meiryo UI"/>
        <family val="3"/>
        <charset val="128"/>
      </rPr>
      <t>)</t>
    </r>
  </si>
  <si>
    <t>断面２次ﾓｰﾒﾝﾄ</t>
  </si>
  <si>
    <r>
      <rPr>
        <sz val="11"/>
        <rFont val="Meiryo UI"/>
        <family val="3"/>
        <charset val="128"/>
      </rPr>
      <t>換算断面係    数
Ze
×10</t>
    </r>
    <r>
      <rPr>
        <vertAlign val="superscript"/>
        <sz val="11"/>
        <rFont val="Meiryo UI"/>
        <family val="3"/>
        <charset val="128"/>
      </rPr>
      <t xml:space="preserve">3
</t>
    </r>
    <r>
      <rPr>
        <sz val="11"/>
        <rFont val="Meiryo UI"/>
        <family val="3"/>
        <charset val="128"/>
      </rPr>
      <t>(mm</t>
    </r>
    <r>
      <rPr>
        <vertAlign val="superscript"/>
        <sz val="11"/>
        <rFont val="Meiryo UI"/>
        <family val="3"/>
        <charset val="128"/>
      </rPr>
      <t>3</t>
    </r>
    <r>
      <rPr>
        <sz val="11"/>
        <rFont val="Meiryo UI"/>
        <family val="3"/>
        <charset val="128"/>
      </rPr>
      <t>)</t>
    </r>
  </si>
  <si>
    <r>
      <rPr>
        <sz val="11"/>
        <rFont val="Meiryo UI"/>
        <family val="3"/>
        <charset val="128"/>
      </rPr>
      <t>短期許容曲げﾓｰﾒﾝﾄ Ma
(kN･m)</t>
    </r>
  </si>
  <si>
    <r>
      <rPr>
        <sz val="11"/>
        <rFont val="Meiryo UI"/>
        <family val="3"/>
        <charset val="128"/>
      </rPr>
      <t>短期許容せん断力 Qa
(kN)</t>
    </r>
  </si>
  <si>
    <r>
      <rPr>
        <sz val="11"/>
        <rFont val="Meiryo UI"/>
        <family val="3"/>
        <charset val="128"/>
      </rPr>
      <t>断面積 A</t>
    </r>
    <r>
      <rPr>
        <vertAlign val="subscript"/>
        <sz val="11"/>
        <rFont val="Meiryo UI"/>
        <family val="3"/>
        <charset val="128"/>
      </rPr>
      <t xml:space="preserve">p
</t>
    </r>
    <r>
      <rPr>
        <sz val="11"/>
        <rFont val="Meiryo UI"/>
        <family val="3"/>
        <charset val="128"/>
      </rPr>
      <t>×10</t>
    </r>
    <r>
      <rPr>
        <vertAlign val="superscript"/>
        <sz val="11"/>
        <rFont val="Meiryo UI"/>
        <family val="3"/>
        <charset val="128"/>
      </rPr>
      <t xml:space="preserve">2
</t>
    </r>
    <r>
      <rPr>
        <sz val="11"/>
        <rFont val="Meiryo UI"/>
        <family val="3"/>
        <charset val="128"/>
      </rPr>
      <t>(mm</t>
    </r>
    <r>
      <rPr>
        <vertAlign val="superscript"/>
        <sz val="11"/>
        <rFont val="Meiryo UI"/>
        <family val="3"/>
        <charset val="128"/>
      </rPr>
      <t>2</t>
    </r>
    <r>
      <rPr>
        <sz val="11"/>
        <rFont val="Meiryo UI"/>
        <family val="3"/>
        <charset val="128"/>
      </rPr>
      <t>)</t>
    </r>
  </si>
  <si>
    <r>
      <rPr>
        <sz val="11"/>
        <rFont val="Meiryo UI"/>
        <family val="3"/>
        <charset val="128"/>
      </rPr>
      <t>配置半径 rp
(mm)</t>
    </r>
  </si>
  <si>
    <r>
      <rPr>
        <sz val="11"/>
        <rFont val="Meiryo UI"/>
        <family val="3"/>
        <charset val="128"/>
      </rPr>
      <t>ｺﾝｸﾘｰﾄ Ac
×10</t>
    </r>
    <r>
      <rPr>
        <vertAlign val="superscript"/>
        <sz val="11"/>
        <rFont val="Meiryo UI"/>
        <family val="3"/>
        <charset val="128"/>
      </rPr>
      <t xml:space="preserve">2
</t>
    </r>
    <r>
      <rPr>
        <sz val="11"/>
        <rFont val="Meiryo UI"/>
        <family val="3"/>
        <charset val="128"/>
      </rPr>
      <t>(mm</t>
    </r>
    <r>
      <rPr>
        <vertAlign val="superscript"/>
        <sz val="11"/>
        <rFont val="Meiryo UI"/>
        <family val="3"/>
        <charset val="128"/>
      </rPr>
      <t>2</t>
    </r>
    <r>
      <rPr>
        <sz val="11"/>
        <rFont val="Meiryo UI"/>
        <family val="3"/>
        <charset val="128"/>
      </rPr>
      <t>)</t>
    </r>
  </si>
  <si>
    <r>
      <rPr>
        <sz val="11"/>
        <rFont val="Meiryo UI"/>
        <family val="3"/>
        <charset val="128"/>
      </rPr>
      <t>換算 Ae
×10</t>
    </r>
    <r>
      <rPr>
        <vertAlign val="superscript"/>
        <sz val="11"/>
        <rFont val="Meiryo UI"/>
        <family val="3"/>
        <charset val="128"/>
      </rPr>
      <t xml:space="preserve">2
</t>
    </r>
    <r>
      <rPr>
        <sz val="11"/>
        <rFont val="Meiryo UI"/>
        <family val="3"/>
        <charset val="128"/>
      </rPr>
      <t>(mm</t>
    </r>
    <r>
      <rPr>
        <vertAlign val="superscript"/>
        <sz val="11"/>
        <rFont val="Meiryo UI"/>
        <family val="3"/>
        <charset val="128"/>
      </rPr>
      <t>2</t>
    </r>
    <r>
      <rPr>
        <sz val="11"/>
        <rFont val="Meiryo UI"/>
        <family val="3"/>
        <charset val="128"/>
      </rPr>
      <t>)</t>
    </r>
  </si>
  <si>
    <r>
      <rPr>
        <sz val="11"/>
        <rFont val="Meiryo UI"/>
        <family val="3"/>
        <charset val="128"/>
      </rPr>
      <t>ｺﾝｸﾘｰﾄ Ic
×10</t>
    </r>
    <r>
      <rPr>
        <vertAlign val="superscript"/>
        <sz val="11"/>
        <rFont val="Meiryo UI"/>
        <family val="3"/>
        <charset val="128"/>
      </rPr>
      <t xml:space="preserve">6
</t>
    </r>
    <r>
      <rPr>
        <sz val="11"/>
        <rFont val="Meiryo UI"/>
        <family val="3"/>
        <charset val="128"/>
      </rPr>
      <t>(mm</t>
    </r>
    <r>
      <rPr>
        <vertAlign val="superscript"/>
        <sz val="11"/>
        <rFont val="Meiryo UI"/>
        <family val="3"/>
        <charset val="128"/>
      </rPr>
      <t>4</t>
    </r>
    <r>
      <rPr>
        <sz val="11"/>
        <rFont val="Meiryo UI"/>
        <family val="3"/>
        <charset val="128"/>
      </rPr>
      <t>)</t>
    </r>
  </si>
  <si>
    <r>
      <rPr>
        <sz val="11"/>
        <rFont val="Meiryo UI"/>
        <family val="3"/>
        <charset val="128"/>
      </rPr>
      <t>換算 Ie
×10</t>
    </r>
    <r>
      <rPr>
        <vertAlign val="superscript"/>
        <sz val="11"/>
        <rFont val="Meiryo UI"/>
        <family val="3"/>
        <charset val="128"/>
      </rPr>
      <t xml:space="preserve">6
</t>
    </r>
    <r>
      <rPr>
        <sz val="11"/>
        <rFont val="Meiryo UI"/>
        <family val="3"/>
        <charset val="128"/>
      </rPr>
      <t>(mm</t>
    </r>
    <r>
      <rPr>
        <vertAlign val="superscript"/>
        <sz val="11"/>
        <rFont val="Meiryo UI"/>
        <family val="3"/>
        <charset val="128"/>
      </rPr>
      <t>4</t>
    </r>
    <r>
      <rPr>
        <sz val="11"/>
        <rFont val="Meiryo UI"/>
        <family val="3"/>
        <charset val="128"/>
      </rPr>
      <t>)</t>
    </r>
  </si>
  <si>
    <t>Ａ</t>
  </si>
  <si>
    <t>Ｂ</t>
  </si>
  <si>
    <t>Ｃ</t>
  </si>
  <si>
    <r>
      <rPr>
        <sz val="11"/>
        <rFont val="Meiryo UI"/>
        <family val="3"/>
        <charset val="128"/>
      </rPr>
      <t>２．既製コンクリート杭基礎構造設計マニュアル（土木編）2003 年 4 月版の P101 の PHC 杭断面緒元表
改訂断面諸元表
コピタ発行の「既製コンクリート杭  －基礎構造設計マニュアル－  土木編  2003 年４月」
の 101 ページ、PHC 杭の断面諸元表（表 2.1.1－1）において、網かけ部分の数値を改訂しました。</t>
    </r>
  </si>
  <si>
    <t>スパイラル鉄筋の有効長 ｄ'  (mm)</t>
  </si>
  <si>
    <t>t</t>
    <phoneticPr fontId="2"/>
  </si>
  <si>
    <t>class</t>
    <phoneticPr fontId="2"/>
  </si>
  <si>
    <t>ap</t>
    <phoneticPr fontId="2"/>
  </si>
  <si>
    <t>rp</t>
    <phoneticPr fontId="2"/>
  </si>
  <si>
    <t>ac</t>
    <phoneticPr fontId="2"/>
  </si>
  <si>
    <t>ae</t>
    <phoneticPr fontId="2"/>
  </si>
  <si>
    <t>ie</t>
    <phoneticPr fontId="2"/>
  </si>
  <si>
    <t>ic</t>
    <phoneticPr fontId="2"/>
  </si>
  <si>
    <t>ze</t>
    <phoneticPr fontId="2"/>
  </si>
  <si>
    <t>ma</t>
    <phoneticPr fontId="2"/>
  </si>
  <si>
    <t>qa</t>
    <phoneticPr fontId="2"/>
  </si>
  <si>
    <r>
      <t>(N/mm</t>
    </r>
    <r>
      <rPr>
        <vertAlign val="superscript"/>
        <sz val="11"/>
        <rFont val="Meiryo UI"/>
        <family val="3"/>
        <charset val="128"/>
      </rPr>
      <t>2</t>
    </r>
    <r>
      <rPr>
        <sz val="11"/>
        <rFont val="Meiryo UI"/>
        <family val="3"/>
        <charset val="128"/>
      </rPr>
      <t>)</t>
    </r>
    <phoneticPr fontId="2"/>
  </si>
  <si>
    <r>
      <t>(mm</t>
    </r>
    <r>
      <rPr>
        <vertAlign val="superscript"/>
        <sz val="11"/>
        <rFont val="Meiryo UI"/>
        <family val="3"/>
        <charset val="128"/>
      </rPr>
      <t>2</t>
    </r>
    <r>
      <rPr>
        <sz val="11"/>
        <rFont val="Meiryo UI"/>
        <family val="3"/>
        <charset val="128"/>
      </rPr>
      <t>)</t>
    </r>
    <phoneticPr fontId="2"/>
  </si>
  <si>
    <r>
      <t>（mm</t>
    </r>
    <r>
      <rPr>
        <vertAlign val="superscript"/>
        <sz val="11"/>
        <rFont val="Meiryo UI"/>
        <family val="3"/>
        <charset val="128"/>
      </rPr>
      <t>4</t>
    </r>
    <r>
      <rPr>
        <sz val="11"/>
        <rFont val="Meiryo UI"/>
        <family val="3"/>
        <charset val="128"/>
      </rPr>
      <t>)</t>
    </r>
    <phoneticPr fontId="2"/>
  </si>
  <si>
    <r>
      <t>(mm</t>
    </r>
    <r>
      <rPr>
        <vertAlign val="superscript"/>
        <sz val="11"/>
        <rFont val="Meiryo UI"/>
        <family val="3"/>
        <charset val="128"/>
      </rPr>
      <t>3</t>
    </r>
    <r>
      <rPr>
        <sz val="11"/>
        <rFont val="Meiryo UI"/>
        <family val="3"/>
        <charset val="128"/>
      </rPr>
      <t>)</t>
    </r>
    <phoneticPr fontId="2"/>
  </si>
  <si>
    <r>
      <t>(m</t>
    </r>
    <r>
      <rPr>
        <vertAlign val="superscript"/>
        <sz val="11"/>
        <rFont val="Meiryo UI"/>
        <family val="3"/>
        <charset val="128"/>
      </rPr>
      <t>2</t>
    </r>
    <r>
      <rPr>
        <sz val="11"/>
        <rFont val="Meiryo UI"/>
        <family val="3"/>
        <charset val="128"/>
      </rPr>
      <t>)</t>
    </r>
    <phoneticPr fontId="2"/>
  </si>
  <si>
    <r>
      <t>（kN/m</t>
    </r>
    <r>
      <rPr>
        <vertAlign val="superscript"/>
        <sz val="11"/>
        <rFont val="Meiryo UI"/>
        <family val="3"/>
        <charset val="128"/>
      </rPr>
      <t>2</t>
    </r>
    <r>
      <rPr>
        <sz val="11"/>
        <rFont val="Meiryo UI"/>
        <family val="3"/>
        <charset val="128"/>
      </rPr>
      <t>)</t>
    </r>
    <phoneticPr fontId="2"/>
  </si>
  <si>
    <t>PHC300A</t>
    <phoneticPr fontId="2"/>
  </si>
  <si>
    <t>PHC350A</t>
    <phoneticPr fontId="2"/>
  </si>
  <si>
    <t>PHC600B</t>
    <phoneticPr fontId="2"/>
  </si>
  <si>
    <t>PHC600A</t>
    <phoneticPr fontId="2"/>
  </si>
  <si>
    <t>PHC350B</t>
    <phoneticPr fontId="2"/>
  </si>
  <si>
    <t>PHC350B</t>
    <phoneticPr fontId="2"/>
  </si>
  <si>
    <t>PHC300B</t>
    <phoneticPr fontId="2"/>
  </si>
  <si>
    <t>PHC300C</t>
    <phoneticPr fontId="2"/>
  </si>
  <si>
    <t>PHC350C</t>
    <phoneticPr fontId="2"/>
  </si>
  <si>
    <t>PHC400A</t>
    <phoneticPr fontId="2"/>
  </si>
  <si>
    <t>PHC400B</t>
    <phoneticPr fontId="2"/>
  </si>
  <si>
    <t>PHC400C</t>
    <phoneticPr fontId="2"/>
  </si>
  <si>
    <t>PHC450A</t>
    <phoneticPr fontId="2"/>
  </si>
  <si>
    <t>PHC450B</t>
    <phoneticPr fontId="2"/>
  </si>
  <si>
    <t>PHC450C</t>
    <phoneticPr fontId="2"/>
  </si>
  <si>
    <t>PHC500A</t>
    <phoneticPr fontId="2"/>
  </si>
  <si>
    <t>PHC500B</t>
    <phoneticPr fontId="2"/>
  </si>
  <si>
    <t>PHC500C</t>
    <phoneticPr fontId="2"/>
  </si>
  <si>
    <t>PHC600C</t>
    <phoneticPr fontId="2"/>
  </si>
  <si>
    <t>PHC700A</t>
    <phoneticPr fontId="2"/>
  </si>
  <si>
    <t>PHC700B</t>
    <phoneticPr fontId="2"/>
  </si>
  <si>
    <t>PHC700C</t>
    <phoneticPr fontId="2"/>
  </si>
  <si>
    <t>PHC1200C</t>
    <phoneticPr fontId="2"/>
  </si>
  <si>
    <t>PHC800A</t>
    <phoneticPr fontId="2"/>
  </si>
  <si>
    <t>PHC800B</t>
    <phoneticPr fontId="2"/>
  </si>
  <si>
    <t>PHC800C</t>
    <phoneticPr fontId="2"/>
  </si>
  <si>
    <t>PHC900A</t>
    <phoneticPr fontId="2"/>
  </si>
  <si>
    <t>PHC900B</t>
    <phoneticPr fontId="2"/>
  </si>
  <si>
    <t>PHC900C</t>
    <phoneticPr fontId="2"/>
  </si>
  <si>
    <t>PHC1000A</t>
    <phoneticPr fontId="2"/>
  </si>
  <si>
    <t>PHC1000B</t>
    <phoneticPr fontId="2"/>
  </si>
  <si>
    <t>PHC1000C</t>
    <phoneticPr fontId="2"/>
  </si>
  <si>
    <t>PHC1100A</t>
    <phoneticPr fontId="2"/>
  </si>
  <si>
    <t>PHC1100B</t>
    <phoneticPr fontId="2"/>
  </si>
  <si>
    <t>PHC1100C</t>
    <phoneticPr fontId="2"/>
  </si>
  <si>
    <t>PHC1200A</t>
    <phoneticPr fontId="2"/>
  </si>
  <si>
    <t>PHC1200B</t>
    <phoneticPr fontId="2"/>
  </si>
  <si>
    <r>
      <rPr>
        <sz val="11"/>
        <rFont val="Meiryo UI"/>
        <family val="3"/>
        <charset val="128"/>
      </rPr>
      <t>換算
断面係   数
Ze
×10</t>
    </r>
    <r>
      <rPr>
        <vertAlign val="superscript"/>
        <sz val="11"/>
        <rFont val="Meiryo UI"/>
        <family val="3"/>
        <charset val="128"/>
      </rPr>
      <t xml:space="preserve">3
</t>
    </r>
    <r>
      <rPr>
        <sz val="11"/>
        <rFont val="Meiryo UI"/>
        <family val="3"/>
        <charset val="128"/>
      </rPr>
      <t>(mm</t>
    </r>
    <r>
      <rPr>
        <vertAlign val="superscript"/>
        <sz val="11"/>
        <rFont val="Meiryo UI"/>
        <family val="3"/>
        <charset val="128"/>
      </rPr>
      <t>3</t>
    </r>
    <r>
      <rPr>
        <sz val="11"/>
        <rFont val="Meiryo UI"/>
        <family val="3"/>
        <charset val="128"/>
      </rPr>
      <t>)</t>
    </r>
    <phoneticPr fontId="2"/>
  </si>
  <si>
    <t>pres</t>
    <phoneticPr fontId="2"/>
  </si>
  <si>
    <t>長期</t>
    <rPh sb="0" eb="2">
      <t>チョウキ</t>
    </rPh>
    <phoneticPr fontId="2"/>
  </si>
  <si>
    <t>許容曲げ引張</t>
    <rPh sb="0" eb="2">
      <t>キョヨウ</t>
    </rPh>
    <rPh sb="2" eb="3">
      <t>マ</t>
    </rPh>
    <rPh sb="4" eb="6">
      <t>ヒッパリ</t>
    </rPh>
    <phoneticPr fontId="2"/>
  </si>
  <si>
    <t>許容曲げ曲げモーメント</t>
    <rPh sb="4" eb="5">
      <t>マ</t>
    </rPh>
    <phoneticPr fontId="2"/>
  </si>
  <si>
    <t>コンクリート
長期</t>
    <rPh sb="7" eb="9">
      <t>チョウキ</t>
    </rPh>
    <phoneticPr fontId="2"/>
  </si>
  <si>
    <t>コンクリート
短期</t>
    <rPh sb="7" eb="9">
      <t>タンキ</t>
    </rPh>
    <phoneticPr fontId="2"/>
  </si>
  <si>
    <t>sil</t>
    <phoneticPr fontId="2"/>
  </si>
  <si>
    <t>sis</t>
    <phoneticPr fontId="2"/>
  </si>
  <si>
    <t>lfb</t>
    <phoneticPr fontId="2"/>
  </si>
  <si>
    <t>sfb</t>
    <phoneticPr fontId="2"/>
  </si>
  <si>
    <r>
      <t>(N/mm</t>
    </r>
    <r>
      <rPr>
        <vertAlign val="superscript"/>
        <sz val="12"/>
        <rFont val="Meiryo UI"/>
        <family val="3"/>
        <charset val="128"/>
      </rPr>
      <t>2</t>
    </r>
    <r>
      <rPr>
        <sz val="12"/>
        <rFont val="Meiryo UI"/>
        <family val="3"/>
        <charset val="128"/>
      </rPr>
      <t>)</t>
    </r>
    <phoneticPr fontId="2"/>
  </si>
  <si>
    <r>
      <t>（mm</t>
    </r>
    <r>
      <rPr>
        <vertAlign val="superscript"/>
        <sz val="12"/>
        <rFont val="Meiryo UI"/>
        <family val="3"/>
        <charset val="128"/>
      </rPr>
      <t>4</t>
    </r>
    <r>
      <rPr>
        <sz val="12"/>
        <rFont val="Meiryo UI"/>
        <family val="3"/>
        <charset val="128"/>
      </rPr>
      <t>)</t>
    </r>
    <phoneticPr fontId="2"/>
  </si>
  <si>
    <t>α</t>
    <phoneticPr fontId="2"/>
  </si>
  <si>
    <t>Ｅｏ＝700*N</t>
    <phoneticPr fontId="2"/>
  </si>
  <si>
    <t>（cm）</t>
    <phoneticPr fontId="2"/>
  </si>
  <si>
    <t>PHC400a</t>
    <phoneticPr fontId="2"/>
  </si>
  <si>
    <t>(kN/m2)</t>
    <phoneticPr fontId="2"/>
  </si>
  <si>
    <t>E*I</t>
    <phoneticPr fontId="2"/>
  </si>
  <si>
    <t>設計基準強度</t>
    <rPh sb="0" eb="2">
      <t>セッケイ</t>
    </rPh>
    <rPh sb="2" eb="4">
      <t>キジュン</t>
    </rPh>
    <rPh sb="4" eb="6">
      <t>キョウド</t>
    </rPh>
    <phoneticPr fontId="2"/>
  </si>
  <si>
    <t>圧縮</t>
    <rPh sb="0" eb="2">
      <t>アッシュク</t>
    </rPh>
    <phoneticPr fontId="2"/>
  </si>
  <si>
    <t>N/mm2</t>
    <phoneticPr fontId="2"/>
  </si>
  <si>
    <t>sig/4</t>
    <phoneticPr fontId="2"/>
  </si>
  <si>
    <t>曲げ引張</t>
    <rPh sb="0" eb="1">
      <t>マ</t>
    </rPh>
    <rPh sb="2" eb="4">
      <t>ヒッパリ</t>
    </rPh>
    <phoneticPr fontId="2"/>
  </si>
  <si>
    <t>斜引張</t>
    <rPh sb="0" eb="1">
      <t>シャ</t>
    </rPh>
    <rPh sb="1" eb="3">
      <t>ヒッパリ</t>
    </rPh>
    <phoneticPr fontId="2"/>
  </si>
  <si>
    <t>長期</t>
    <rPh sb="0" eb="2">
      <t>チョウキ</t>
    </rPh>
    <phoneticPr fontId="2"/>
  </si>
  <si>
    <t>短期</t>
    <rPh sb="0" eb="2">
      <t>タンキ</t>
    </rPh>
    <phoneticPr fontId="2"/>
  </si>
  <si>
    <t>sig/2</t>
    <phoneticPr fontId="2"/>
  </si>
  <si>
    <t>s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</si>
</sst>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5" formatCode="&quot;¥&quot;#,##0;&quot;¥&quot;\-#,##0"/>
    <numFmt numFmtId="176" formatCode="0.0_ "/>
    <numFmt numFmtId="177" formatCode="0.0_);[Red]\(0.0\)"/>
    <numFmt numFmtId="178" formatCode="0.00_ "/>
    <numFmt numFmtId="179" formatCode="0_ "/>
    <numFmt numFmtId="180" formatCode="0.0E+00"/>
    <numFmt numFmtId="181" formatCode="0.000_ "/>
    <numFmt numFmtId="182" formatCode="0_);[Red]\(0\)"/>
    <numFmt numFmtId="183" formatCode="0.00_);[Red]\(0.00\)"/>
    <numFmt numFmtId="184" formatCode="0.000"/>
    <numFmt numFmtId="185" formatCode="0.0"/>
    <numFmt numFmtId="186" formatCode="#,##0.0;[Red]\-#,##0.0"/>
  </numFmts>
  <fonts count="24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8"/>
      <name val="ＭＳ Ｐ明朝"/>
      <family val="1"/>
      <charset val="128"/>
    </font>
    <font>
      <sz val="10"/>
      <name val="ＭＳ Ｐ明朝"/>
      <family val="1"/>
      <charset val="128"/>
    </font>
    <font>
      <sz val="10"/>
      <color indexed="12"/>
      <name val="ＭＳ Ｐ明朝"/>
      <family val="1"/>
      <charset val="128"/>
    </font>
    <font>
      <sz val="10"/>
      <color indexed="8"/>
      <name val="ＭＳ Ｐ明朝"/>
      <family val="1"/>
      <charset val="128"/>
    </font>
    <font>
      <vertAlign val="superscript"/>
      <sz val="10"/>
      <name val="ＭＳ Ｐ明朝"/>
      <family val="1"/>
      <charset val="128"/>
    </font>
    <font>
      <sz val="10"/>
      <color indexed="10"/>
      <name val="ＭＳ Ｐ明朝"/>
      <family val="1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4"/>
      <name val="ＭＳ 明朝"/>
      <family val="1"/>
      <charset val="128"/>
    </font>
    <font>
      <sz val="11"/>
      <name val="ＭＳ Ｐゴシック"/>
      <family val="3"/>
      <charset val="128"/>
      <scheme val="minor"/>
    </font>
    <font>
      <sz val="11"/>
      <name val="Meiryo UI"/>
      <family val="3"/>
      <charset val="128"/>
    </font>
    <font>
      <sz val="10"/>
      <color rgb="FF000000"/>
      <name val="Times New Roman"/>
      <family val="1"/>
    </font>
    <font>
      <sz val="11"/>
      <color rgb="FF000000"/>
      <name val="Meiryo UI"/>
      <family val="3"/>
      <charset val="128"/>
    </font>
    <font>
      <u/>
      <sz val="11"/>
      <name val="Meiryo UI"/>
      <family val="3"/>
      <charset val="128"/>
    </font>
    <font>
      <vertAlign val="superscript"/>
      <sz val="11"/>
      <name val="Meiryo UI"/>
      <family val="3"/>
      <charset val="128"/>
    </font>
    <font>
      <vertAlign val="subscript"/>
      <sz val="11"/>
      <name val="Meiryo UI"/>
      <family val="3"/>
      <charset val="128"/>
    </font>
    <font>
      <sz val="11"/>
      <color indexed="12"/>
      <name val="Meiryo UI"/>
      <family val="3"/>
      <charset val="128"/>
    </font>
    <font>
      <sz val="12"/>
      <name val="Meiryo UI"/>
      <family val="3"/>
      <charset val="128"/>
    </font>
    <font>
      <sz val="12"/>
      <color indexed="12"/>
      <name val="Meiryo UI"/>
      <family val="3"/>
      <charset val="128"/>
    </font>
    <font>
      <vertAlign val="superscript"/>
      <sz val="12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BFBFBF"/>
      </patternFill>
    </fill>
  </fills>
  <borders count="3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5">
    <xf numFmtId="0" fontId="0" fillId="0" borderId="0"/>
    <xf numFmtId="38" fontId="1" fillId="0" borderId="0" applyFont="0" applyFill="0" applyBorder="0" applyAlignment="0" applyProtection="0"/>
    <xf numFmtId="0" fontId="9" fillId="0" borderId="0">
      <alignment vertical="center"/>
    </xf>
    <xf numFmtId="0" fontId="12" fillId="0" borderId="0"/>
    <xf numFmtId="0" fontId="15" fillId="0" borderId="0"/>
  </cellStyleXfs>
  <cellXfs count="479">
    <xf numFmtId="0" fontId="0" fillId="0" borderId="0" xfId="0"/>
    <xf numFmtId="0" fontId="3" fillId="0" borderId="1" xfId="0" applyFont="1" applyBorder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Border="1"/>
    <xf numFmtId="0" fontId="4" fillId="0" borderId="0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2" xfId="0" applyFont="1" applyBorder="1"/>
    <xf numFmtId="0" fontId="4" fillId="0" borderId="3" xfId="0" applyFont="1" applyBorder="1"/>
    <xf numFmtId="0" fontId="4" fillId="0" borderId="0" xfId="0" applyFont="1" applyAlignment="1"/>
    <xf numFmtId="0" fontId="4" fillId="0" borderId="4" xfId="0" applyFont="1" applyBorder="1"/>
    <xf numFmtId="0" fontId="4" fillId="0" borderId="5" xfId="0" applyFont="1" applyBorder="1"/>
    <xf numFmtId="0" fontId="4" fillId="0" borderId="6" xfId="0" applyFont="1" applyBorder="1"/>
    <xf numFmtId="178" fontId="4" fillId="0" borderId="0" xfId="0" applyNumberFormat="1" applyFont="1" applyBorder="1"/>
    <xf numFmtId="0" fontId="4" fillId="0" borderId="7" xfId="0" applyFont="1" applyBorder="1"/>
    <xf numFmtId="0" fontId="4" fillId="0" borderId="8" xfId="0" applyFont="1" applyBorder="1"/>
    <xf numFmtId="0" fontId="5" fillId="0" borderId="0" xfId="0" quotePrefix="1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179" fontId="4" fillId="0" borderId="0" xfId="0" applyNumberFormat="1" applyFont="1" applyAlignment="1">
      <alignment horizontal="center"/>
    </xf>
    <xf numFmtId="178" fontId="4" fillId="0" borderId="0" xfId="0" applyNumberFormat="1" applyFont="1" applyAlignment="1">
      <alignment horizontal="center"/>
    </xf>
    <xf numFmtId="179" fontId="4" fillId="0" borderId="0" xfId="0" applyNumberFormat="1" applyFont="1"/>
    <xf numFmtId="179" fontId="4" fillId="0" borderId="0" xfId="0" applyNumberFormat="1" applyFont="1" applyAlignment="1">
      <alignment horizontal="right"/>
    </xf>
    <xf numFmtId="176" fontId="4" fillId="0" borderId="0" xfId="0" applyNumberFormat="1" applyFont="1"/>
    <xf numFmtId="0" fontId="4" fillId="0" borderId="0" xfId="0" applyFont="1" applyAlignment="1">
      <alignment horizontal="left"/>
    </xf>
    <xf numFmtId="0" fontId="4" fillId="0" borderId="0" xfId="0" quotePrefix="1" applyFont="1" applyAlignment="1">
      <alignment horizontal="left"/>
    </xf>
    <xf numFmtId="0" fontId="4" fillId="0" borderId="0" xfId="0" quotePrefix="1" applyFont="1" applyAlignment="1">
      <alignment horizontal="center"/>
    </xf>
    <xf numFmtId="181" fontId="4" fillId="0" borderId="0" xfId="0" applyNumberFormat="1" applyFont="1" applyAlignment="1">
      <alignment horizontal="right"/>
    </xf>
    <xf numFmtId="176" fontId="4" fillId="0" borderId="0" xfId="0" applyNumberFormat="1" applyFont="1" applyAlignment="1">
      <alignment horizontal="right"/>
    </xf>
    <xf numFmtId="177" fontId="4" fillId="0" borderId="0" xfId="0" applyNumberFormat="1" applyFont="1" applyBorder="1" applyAlignment="1">
      <alignment horizontal="center"/>
    </xf>
    <xf numFmtId="0" fontId="4" fillId="0" borderId="0" xfId="0" applyNumberFormat="1" applyFont="1" applyAlignment="1">
      <alignment horizontal="right"/>
    </xf>
    <xf numFmtId="178" fontId="4" fillId="0" borderId="0" xfId="0" applyNumberFormat="1" applyFont="1" applyAlignment="1">
      <alignment horizontal="right"/>
    </xf>
    <xf numFmtId="178" fontId="4" fillId="0" borderId="0" xfId="0" applyNumberFormat="1" applyFont="1"/>
    <xf numFmtId="181" fontId="4" fillId="0" borderId="0" xfId="0" applyNumberFormat="1" applyFont="1" applyAlignment="1">
      <alignment horizontal="center"/>
    </xf>
    <xf numFmtId="176" fontId="4" fillId="0" borderId="0" xfId="0" applyNumberFormat="1" applyFont="1" applyAlignment="1">
      <alignment horizontal="center"/>
    </xf>
    <xf numFmtId="11" fontId="4" fillId="0" borderId="0" xfId="0" applyNumberFormat="1" applyFont="1" applyAlignment="1">
      <alignment horizontal="center"/>
    </xf>
    <xf numFmtId="183" fontId="4" fillId="0" borderId="0" xfId="0" applyNumberFormat="1" applyFont="1" applyBorder="1" applyAlignment="1">
      <alignment horizontal="center"/>
    </xf>
    <xf numFmtId="177" fontId="4" fillId="0" borderId="0" xfId="0" applyNumberFormat="1" applyFont="1" applyAlignment="1">
      <alignment horizontal="right"/>
    </xf>
    <xf numFmtId="0" fontId="4" fillId="0" borderId="9" xfId="0" applyFont="1" applyBorder="1"/>
    <xf numFmtId="0" fontId="4" fillId="0" borderId="10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5" fillId="0" borderId="9" xfId="0" applyFont="1" applyBorder="1" applyAlignment="1">
      <alignment horizontal="right"/>
    </xf>
    <xf numFmtId="182" fontId="5" fillId="0" borderId="9" xfId="0" applyNumberFormat="1" applyFont="1" applyBorder="1" applyAlignment="1">
      <alignment horizontal="right"/>
    </xf>
    <xf numFmtId="0" fontId="5" fillId="0" borderId="11" xfId="0" applyFont="1" applyBorder="1" applyAlignment="1">
      <alignment horizontal="right"/>
    </xf>
    <xf numFmtId="178" fontId="5" fillId="0" borderId="0" xfId="0" applyNumberFormat="1" applyFont="1" applyBorder="1" applyAlignment="1">
      <alignment horizontal="right"/>
    </xf>
    <xf numFmtId="182" fontId="5" fillId="0" borderId="11" xfId="0" applyNumberFormat="1" applyFont="1" applyBorder="1" applyAlignment="1">
      <alignment horizontal="right"/>
    </xf>
    <xf numFmtId="183" fontId="5" fillId="0" borderId="0" xfId="0" applyNumberFormat="1" applyFont="1" applyBorder="1" applyAlignment="1">
      <alignment horizontal="right"/>
    </xf>
    <xf numFmtId="0" fontId="4" fillId="0" borderId="11" xfId="0" applyFont="1" applyFill="1" applyBorder="1" applyAlignment="1">
      <alignment horizontal="right"/>
    </xf>
    <xf numFmtId="182" fontId="4" fillId="0" borderId="0" xfId="0" applyNumberFormat="1" applyFont="1" applyFill="1" applyBorder="1" applyAlignment="1">
      <alignment horizontal="right"/>
    </xf>
    <xf numFmtId="182" fontId="5" fillId="0" borderId="11" xfId="0" applyNumberFormat="1" applyFont="1" applyFill="1" applyBorder="1" applyAlignment="1" applyProtection="1">
      <alignment horizontal="right"/>
    </xf>
    <xf numFmtId="182" fontId="5" fillId="0" borderId="0" xfId="0" applyNumberFormat="1" applyFont="1" applyFill="1" applyBorder="1" applyAlignment="1">
      <alignment horizontal="center"/>
    </xf>
    <xf numFmtId="0" fontId="4" fillId="0" borderId="11" xfId="0" applyFont="1" applyBorder="1" applyAlignment="1">
      <alignment horizontal="right"/>
    </xf>
    <xf numFmtId="182" fontId="4" fillId="0" borderId="0" xfId="0" applyNumberFormat="1" applyFont="1" applyBorder="1" applyAlignment="1">
      <alignment horizontal="right"/>
    </xf>
    <xf numFmtId="183" fontId="4" fillId="0" borderId="0" xfId="0" applyNumberFormat="1" applyFont="1" applyBorder="1" applyAlignment="1">
      <alignment horizontal="right"/>
    </xf>
    <xf numFmtId="177" fontId="5" fillId="0" borderId="11" xfId="0" applyNumberFormat="1" applyFont="1" applyBorder="1" applyAlignment="1">
      <alignment horizontal="right"/>
    </xf>
    <xf numFmtId="0" fontId="4" fillId="0" borderId="12" xfId="0" applyFont="1" applyBorder="1" applyAlignment="1">
      <alignment horizontal="right"/>
    </xf>
    <xf numFmtId="0" fontId="4" fillId="0" borderId="5" xfId="0" applyFont="1" applyBorder="1" applyAlignment="1">
      <alignment horizontal="center"/>
    </xf>
    <xf numFmtId="177" fontId="5" fillId="0" borderId="0" xfId="0" applyNumberFormat="1" applyFont="1" applyAlignment="1">
      <alignment horizontal="right"/>
    </xf>
    <xf numFmtId="0" fontId="4" fillId="0" borderId="13" xfId="0" applyFont="1" applyBorder="1"/>
    <xf numFmtId="177" fontId="4" fillId="0" borderId="13" xfId="0" applyNumberFormat="1" applyFont="1" applyBorder="1" applyAlignment="1">
      <alignment horizontal="right"/>
    </xf>
    <xf numFmtId="0" fontId="4" fillId="0" borderId="9" xfId="0" applyFont="1" applyBorder="1" applyAlignment="1">
      <alignment horizontal="right"/>
    </xf>
    <xf numFmtId="182" fontId="4" fillId="0" borderId="1" xfId="0" applyNumberFormat="1" applyFont="1" applyBorder="1" applyAlignment="1">
      <alignment horizontal="right"/>
    </xf>
    <xf numFmtId="182" fontId="4" fillId="0" borderId="14" xfId="0" applyNumberFormat="1" applyFont="1" applyBorder="1" applyAlignment="1">
      <alignment horizontal="right"/>
    </xf>
    <xf numFmtId="183" fontId="4" fillId="0" borderId="14" xfId="0" applyNumberFormat="1" applyFont="1" applyBorder="1" applyAlignment="1">
      <alignment horizontal="right"/>
    </xf>
    <xf numFmtId="182" fontId="5" fillId="0" borderId="2" xfId="0" applyNumberFormat="1" applyFont="1" applyBorder="1" applyProtection="1">
      <protection locked="0"/>
    </xf>
    <xf numFmtId="183" fontId="5" fillId="0" borderId="0" xfId="0" applyNumberFormat="1" applyFont="1"/>
    <xf numFmtId="182" fontId="5" fillId="0" borderId="2" xfId="0" applyNumberFormat="1" applyFont="1" applyBorder="1" applyAlignment="1" applyProtection="1">
      <alignment horizontal="right"/>
      <protection locked="0"/>
    </xf>
    <xf numFmtId="182" fontId="5" fillId="0" borderId="0" xfId="0" applyNumberFormat="1" applyFont="1" applyBorder="1" applyAlignment="1" applyProtection="1">
      <alignment horizontal="right"/>
      <protection locked="0"/>
    </xf>
    <xf numFmtId="177" fontId="5" fillId="0" borderId="0" xfId="0" applyNumberFormat="1" applyFont="1" applyBorder="1" applyAlignment="1">
      <alignment horizontal="right"/>
    </xf>
    <xf numFmtId="182" fontId="6" fillId="0" borderId="2" xfId="0" applyNumberFormat="1" applyFont="1" applyBorder="1" applyAlignment="1">
      <alignment horizontal="right"/>
    </xf>
    <xf numFmtId="182" fontId="6" fillId="0" borderId="0" xfId="0" applyNumberFormat="1" applyFont="1" applyBorder="1" applyAlignment="1">
      <alignment horizontal="right"/>
    </xf>
    <xf numFmtId="183" fontId="6" fillId="0" borderId="0" xfId="0" applyNumberFormat="1" applyFont="1" applyBorder="1" applyAlignment="1">
      <alignment horizontal="right"/>
    </xf>
    <xf numFmtId="182" fontId="4" fillId="0" borderId="2" xfId="0" applyNumberFormat="1" applyFont="1" applyBorder="1" applyAlignment="1">
      <alignment horizontal="right"/>
    </xf>
    <xf numFmtId="178" fontId="4" fillId="0" borderId="2" xfId="0" applyNumberFormat="1" applyFont="1" applyBorder="1" applyAlignment="1">
      <alignment horizontal="right"/>
    </xf>
    <xf numFmtId="178" fontId="4" fillId="0" borderId="0" xfId="0" applyNumberFormat="1" applyFont="1" applyBorder="1" applyAlignment="1">
      <alignment horizontal="right"/>
    </xf>
    <xf numFmtId="183" fontId="4" fillId="0" borderId="2" xfId="0" applyNumberFormat="1" applyFont="1" applyBorder="1" applyAlignment="1">
      <alignment horizontal="right"/>
    </xf>
    <xf numFmtId="182" fontId="4" fillId="0" borderId="11" xfId="0" applyNumberFormat="1" applyFont="1" applyBorder="1" applyAlignment="1" applyProtection="1">
      <alignment horizontal="right"/>
    </xf>
    <xf numFmtId="182" fontId="4" fillId="0" borderId="2" xfId="0" applyNumberFormat="1" applyFont="1" applyBorder="1" applyAlignment="1">
      <alignment horizontal="center"/>
    </xf>
    <xf numFmtId="182" fontId="4" fillId="0" borderId="0" xfId="0" applyNumberFormat="1" applyFont="1" applyBorder="1" applyAlignment="1">
      <alignment horizontal="center"/>
    </xf>
    <xf numFmtId="0" fontId="4" fillId="0" borderId="4" xfId="0" applyFont="1" applyBorder="1" applyAlignment="1">
      <alignment horizontal="right"/>
    </xf>
    <xf numFmtId="0" fontId="4" fillId="0" borderId="4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177" fontId="5" fillId="0" borderId="9" xfId="0" applyNumberFormat="1" applyFont="1" applyBorder="1" applyAlignment="1">
      <alignment horizontal="right"/>
    </xf>
    <xf numFmtId="182" fontId="4" fillId="0" borderId="11" xfId="0" applyNumberFormat="1" applyFont="1" applyBorder="1" applyAlignment="1">
      <alignment horizontal="right"/>
    </xf>
    <xf numFmtId="182" fontId="4" fillId="0" borderId="4" xfId="0" applyNumberFormat="1" applyFont="1" applyBorder="1" applyAlignment="1">
      <alignment horizontal="right"/>
    </xf>
    <xf numFmtId="182" fontId="4" fillId="0" borderId="5" xfId="0" applyNumberFormat="1" applyFont="1" applyBorder="1" applyAlignment="1">
      <alignment horizontal="right"/>
    </xf>
    <xf numFmtId="182" fontId="4" fillId="0" borderId="12" xfId="0" applyNumberFormat="1" applyFont="1" applyBorder="1" applyAlignment="1">
      <alignment horizontal="right"/>
    </xf>
    <xf numFmtId="0" fontId="4" fillId="0" borderId="0" xfId="0" applyFont="1" applyBorder="1" applyAlignment="1">
      <alignment horizontal="right"/>
    </xf>
    <xf numFmtId="0" fontId="4" fillId="0" borderId="0" xfId="0" applyFont="1" applyBorder="1" applyAlignment="1">
      <alignment horizontal="left"/>
    </xf>
    <xf numFmtId="0" fontId="4" fillId="0" borderId="0" xfId="0" applyFont="1" applyBorder="1" applyAlignment="1" applyProtection="1">
      <alignment horizontal="right"/>
    </xf>
    <xf numFmtId="184" fontId="4" fillId="0" borderId="0" xfId="0" applyNumberFormat="1" applyFont="1" applyAlignment="1">
      <alignment horizontal="center"/>
    </xf>
    <xf numFmtId="180" fontId="4" fillId="0" borderId="0" xfId="0" applyNumberFormat="1" applyFont="1" applyAlignment="1">
      <alignment horizontal="center"/>
    </xf>
    <xf numFmtId="185" fontId="5" fillId="0" borderId="0" xfId="0" applyNumberFormat="1" applyFont="1" applyAlignment="1">
      <alignment horizontal="center"/>
    </xf>
    <xf numFmtId="177" fontId="4" fillId="0" borderId="0" xfId="0" applyNumberFormat="1" applyFont="1" applyFill="1" applyBorder="1" applyAlignment="1">
      <alignment horizontal="right"/>
    </xf>
    <xf numFmtId="38" fontId="0" fillId="0" borderId="0" xfId="1" applyFont="1"/>
    <xf numFmtId="38" fontId="0" fillId="0" borderId="0" xfId="0" applyNumberFormat="1"/>
    <xf numFmtId="0" fontId="0" fillId="0" borderId="0" xfId="0" applyAlignment="1"/>
    <xf numFmtId="185" fontId="4" fillId="0" borderId="0" xfId="0" applyNumberFormat="1" applyFont="1"/>
    <xf numFmtId="0" fontId="4" fillId="0" borderId="0" xfId="0" applyFont="1" applyProtection="1">
      <protection locked="0"/>
    </xf>
    <xf numFmtId="182" fontId="5" fillId="0" borderId="0" xfId="0" applyNumberFormat="1" applyFont="1" applyBorder="1" applyProtection="1">
      <protection locked="0"/>
    </xf>
    <xf numFmtId="182" fontId="5" fillId="0" borderId="14" xfId="0" applyNumberFormat="1" applyFont="1" applyBorder="1" applyAlignment="1">
      <alignment horizontal="right"/>
    </xf>
    <xf numFmtId="182" fontId="5" fillId="0" borderId="0" xfId="0" applyNumberFormat="1" applyFont="1" applyBorder="1" applyAlignment="1">
      <alignment horizontal="right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182" fontId="5" fillId="0" borderId="17" xfId="0" applyNumberFormat="1" applyFont="1" applyBorder="1" applyAlignment="1">
      <alignment horizontal="right"/>
    </xf>
    <xf numFmtId="182" fontId="5" fillId="0" borderId="18" xfId="0" applyNumberFormat="1" applyFont="1" applyBorder="1" applyAlignment="1">
      <alignment horizontal="right"/>
    </xf>
    <xf numFmtId="182" fontId="4" fillId="0" borderId="17" xfId="0" applyNumberFormat="1" applyFont="1" applyFill="1" applyBorder="1" applyAlignment="1">
      <alignment horizontal="right"/>
    </xf>
    <xf numFmtId="182" fontId="4" fillId="0" borderId="18" xfId="0" applyNumberFormat="1" applyFont="1" applyFill="1" applyBorder="1" applyAlignment="1">
      <alignment horizontal="right"/>
    </xf>
    <xf numFmtId="182" fontId="5" fillId="0" borderId="17" xfId="0" applyNumberFormat="1" applyFont="1" applyFill="1" applyBorder="1" applyAlignment="1">
      <alignment horizontal="center"/>
    </xf>
    <xf numFmtId="182" fontId="5" fillId="0" borderId="18" xfId="0" applyNumberFormat="1" applyFont="1" applyFill="1" applyBorder="1" applyAlignment="1">
      <alignment horizontal="center"/>
    </xf>
    <xf numFmtId="182" fontId="4" fillId="0" borderId="17" xfId="0" applyNumberFormat="1" applyFont="1" applyBorder="1" applyAlignment="1">
      <alignment horizontal="right"/>
    </xf>
    <xf numFmtId="182" fontId="4" fillId="0" borderId="18" xfId="0" applyNumberFormat="1" applyFont="1" applyBorder="1" applyAlignment="1">
      <alignment horizontal="right"/>
    </xf>
    <xf numFmtId="178" fontId="4" fillId="0" borderId="17" xfId="0" applyNumberFormat="1" applyFont="1" applyBorder="1"/>
    <xf numFmtId="178" fontId="4" fillId="0" borderId="18" xfId="0" applyNumberFormat="1" applyFont="1" applyBorder="1"/>
    <xf numFmtId="0" fontId="4" fillId="0" borderId="17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9" xfId="0" applyFont="1" applyBorder="1"/>
    <xf numFmtId="0" fontId="4" fillId="0" borderId="20" xfId="0" applyFont="1" applyBorder="1"/>
    <xf numFmtId="0" fontId="4" fillId="0" borderId="17" xfId="0" applyFont="1" applyBorder="1"/>
    <xf numFmtId="0" fontId="4" fillId="0" borderId="18" xfId="0" applyFont="1" applyBorder="1"/>
    <xf numFmtId="182" fontId="4" fillId="0" borderId="21" xfId="0" applyNumberFormat="1" applyFont="1" applyBorder="1" applyAlignment="1">
      <alignment horizontal="right"/>
    </xf>
    <xf numFmtId="182" fontId="4" fillId="0" borderId="22" xfId="0" applyNumberFormat="1" applyFont="1" applyBorder="1" applyAlignment="1">
      <alignment horizontal="right"/>
    </xf>
    <xf numFmtId="182" fontId="5" fillId="0" borderId="17" xfId="0" applyNumberFormat="1" applyFont="1" applyBorder="1" applyProtection="1">
      <protection locked="0"/>
    </xf>
    <xf numFmtId="182" fontId="5" fillId="0" borderId="18" xfId="0" applyNumberFormat="1" applyFont="1" applyBorder="1" applyProtection="1">
      <protection locked="0"/>
    </xf>
    <xf numFmtId="182" fontId="5" fillId="0" borderId="17" xfId="0" applyNumberFormat="1" applyFont="1" applyBorder="1" applyAlignment="1" applyProtection="1">
      <alignment horizontal="right"/>
      <protection locked="0"/>
    </xf>
    <xf numFmtId="182" fontId="5" fillId="0" borderId="18" xfId="0" applyNumberFormat="1" applyFont="1" applyBorder="1" applyAlignment="1" applyProtection="1">
      <alignment horizontal="right"/>
      <protection locked="0"/>
    </xf>
    <xf numFmtId="182" fontId="6" fillId="0" borderId="17" xfId="0" applyNumberFormat="1" applyFont="1" applyBorder="1" applyAlignment="1">
      <alignment horizontal="right"/>
    </xf>
    <xf numFmtId="182" fontId="6" fillId="0" borderId="18" xfId="0" applyNumberFormat="1" applyFont="1" applyBorder="1" applyAlignment="1">
      <alignment horizontal="right"/>
    </xf>
    <xf numFmtId="178" fontId="4" fillId="0" borderId="17" xfId="0" applyNumberFormat="1" applyFont="1" applyBorder="1" applyAlignment="1">
      <alignment horizontal="right"/>
    </xf>
    <xf numFmtId="178" fontId="4" fillId="0" borderId="18" xfId="0" applyNumberFormat="1" applyFont="1" applyBorder="1" applyAlignment="1">
      <alignment horizontal="right"/>
    </xf>
    <xf numFmtId="183" fontId="4" fillId="0" borderId="17" xfId="0" applyNumberFormat="1" applyFont="1" applyBorder="1" applyAlignment="1">
      <alignment horizontal="right"/>
    </xf>
    <xf numFmtId="183" fontId="4" fillId="0" borderId="18" xfId="0" applyNumberFormat="1" applyFont="1" applyBorder="1" applyAlignment="1">
      <alignment horizontal="right"/>
    </xf>
    <xf numFmtId="182" fontId="4" fillId="0" borderId="17" xfId="0" applyNumberFormat="1" applyFont="1" applyBorder="1" applyAlignment="1">
      <alignment horizontal="center"/>
    </xf>
    <xf numFmtId="182" fontId="4" fillId="0" borderId="18" xfId="0" applyNumberFormat="1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182" fontId="4" fillId="0" borderId="19" xfId="0" applyNumberFormat="1" applyFont="1" applyBorder="1" applyAlignment="1">
      <alignment horizontal="right"/>
    </xf>
    <xf numFmtId="182" fontId="4" fillId="0" borderId="20" xfId="0" applyNumberFormat="1" applyFont="1" applyBorder="1" applyAlignment="1">
      <alignment horizontal="right"/>
    </xf>
    <xf numFmtId="182" fontId="5" fillId="0" borderId="21" xfId="0" applyNumberFormat="1" applyFont="1" applyBorder="1" applyAlignment="1">
      <alignment horizontal="right"/>
    </xf>
    <xf numFmtId="177" fontId="4" fillId="0" borderId="13" xfId="0" applyNumberFormat="1" applyFont="1" applyBorder="1" applyAlignment="1">
      <alignment horizontal="center"/>
    </xf>
    <xf numFmtId="182" fontId="5" fillId="0" borderId="11" xfId="0" applyNumberFormat="1" applyFont="1" applyFill="1" applyBorder="1" applyAlignment="1">
      <alignment horizontal="right"/>
    </xf>
    <xf numFmtId="177" fontId="5" fillId="0" borderId="12" xfId="0" applyNumberFormat="1" applyFont="1" applyBorder="1" applyAlignment="1">
      <alignment horizontal="right"/>
    </xf>
    <xf numFmtId="0" fontId="4" fillId="0" borderId="0" xfId="0" quotePrefix="1" applyFont="1" applyBorder="1" applyAlignment="1">
      <alignment horizontal="center"/>
    </xf>
    <xf numFmtId="178" fontId="4" fillId="0" borderId="0" xfId="0" applyNumberFormat="1" applyFont="1" applyBorder="1" applyAlignment="1">
      <alignment horizontal="center"/>
    </xf>
    <xf numFmtId="181" fontId="4" fillId="0" borderId="0" xfId="0" applyNumberFormat="1" applyFont="1" applyBorder="1" applyAlignment="1">
      <alignment horizontal="right"/>
    </xf>
    <xf numFmtId="0" fontId="5" fillId="0" borderId="0" xfId="0" applyFont="1" applyBorder="1" applyAlignment="1">
      <alignment horizontal="center"/>
    </xf>
    <xf numFmtId="179" fontId="4" fillId="0" borderId="0" xfId="0" applyNumberFormat="1" applyFont="1" applyBorder="1" applyAlignment="1">
      <alignment horizontal="right"/>
    </xf>
    <xf numFmtId="0" fontId="4" fillId="0" borderId="6" xfId="0" applyFont="1" applyBorder="1" applyAlignment="1">
      <alignment horizontal="center"/>
    </xf>
    <xf numFmtId="179" fontId="4" fillId="0" borderId="0" xfId="0" applyNumberFormat="1" applyFont="1" applyBorder="1"/>
    <xf numFmtId="0" fontId="5" fillId="0" borderId="0" xfId="0" quotePrefix="1" applyFont="1" applyBorder="1" applyAlignment="1">
      <alignment horizontal="center"/>
    </xf>
    <xf numFmtId="180" fontId="4" fillId="0" borderId="0" xfId="0" applyNumberFormat="1" applyFont="1" applyBorder="1" applyAlignment="1">
      <alignment horizontal="center"/>
    </xf>
    <xf numFmtId="179" fontId="4" fillId="0" borderId="0" xfId="0" applyNumberFormat="1" applyFont="1" applyBorder="1" applyAlignment="1">
      <alignment horizontal="center"/>
    </xf>
    <xf numFmtId="176" fontId="4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4" fillId="0" borderId="1" xfId="0" applyFont="1" applyBorder="1" applyAlignment="1">
      <alignment horizontal="right"/>
    </xf>
    <xf numFmtId="0" fontId="4" fillId="0" borderId="14" xfId="0" applyFont="1" applyBorder="1" applyAlignment="1">
      <alignment horizontal="center"/>
    </xf>
    <xf numFmtId="0" fontId="4" fillId="0" borderId="23" xfId="0" applyFont="1" applyBorder="1"/>
    <xf numFmtId="0" fontId="5" fillId="0" borderId="2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182" fontId="5" fillId="0" borderId="9" xfId="0" applyNumberFormat="1" applyFont="1" applyBorder="1" applyAlignment="1">
      <alignment horizontal="center"/>
    </xf>
    <xf numFmtId="182" fontId="5" fillId="0" borderId="14" xfId="0" applyNumberFormat="1" applyFont="1" applyBorder="1" applyAlignment="1">
      <alignment horizontal="center"/>
    </xf>
    <xf numFmtId="182" fontId="4" fillId="0" borderId="9" xfId="0" applyNumberFormat="1" applyFont="1" applyBorder="1" applyAlignment="1">
      <alignment horizontal="center"/>
    </xf>
    <xf numFmtId="182" fontId="4" fillId="0" borderId="23" xfId="0" applyNumberFormat="1" applyFont="1" applyBorder="1" applyAlignment="1">
      <alignment horizontal="center"/>
    </xf>
    <xf numFmtId="182" fontId="5" fillId="0" borderId="11" xfId="0" applyNumberFormat="1" applyFont="1" applyBorder="1" applyAlignment="1">
      <alignment horizontal="center"/>
    </xf>
    <xf numFmtId="182" fontId="4" fillId="0" borderId="11" xfId="0" applyNumberFormat="1" applyFont="1" applyBorder="1" applyAlignment="1">
      <alignment horizontal="center"/>
    </xf>
    <xf numFmtId="182" fontId="4" fillId="0" borderId="3" xfId="0" applyNumberFormat="1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183" fontId="4" fillId="0" borderId="2" xfId="0" applyNumberFormat="1" applyFont="1" applyBorder="1" applyAlignment="1">
      <alignment horizontal="center"/>
    </xf>
    <xf numFmtId="183" fontId="4" fillId="0" borderId="11" xfId="0" applyNumberFormat="1" applyFont="1" applyBorder="1" applyAlignment="1">
      <alignment horizontal="center"/>
    </xf>
    <xf numFmtId="183" fontId="8" fillId="0" borderId="4" xfId="0" applyNumberFormat="1" applyFont="1" applyBorder="1" applyAlignment="1">
      <alignment horizontal="center"/>
    </xf>
    <xf numFmtId="183" fontId="8" fillId="0" borderId="12" xfId="0" applyNumberFormat="1" applyFont="1" applyBorder="1" applyAlignment="1">
      <alignment horizontal="center"/>
    </xf>
    <xf numFmtId="183" fontId="8" fillId="0" borderId="5" xfId="0" applyNumberFormat="1" applyFont="1" applyBorder="1" applyAlignment="1">
      <alignment horizontal="center"/>
    </xf>
    <xf numFmtId="182" fontId="5" fillId="0" borderId="2" xfId="0" applyNumberFormat="1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179" fontId="4" fillId="0" borderId="2" xfId="0" applyNumberFormat="1" applyFont="1" applyBorder="1" applyAlignment="1">
      <alignment horizontal="center"/>
    </xf>
    <xf numFmtId="179" fontId="4" fillId="0" borderId="11" xfId="0" applyNumberFormat="1" applyFont="1" applyBorder="1" applyAlignment="1">
      <alignment horizontal="center"/>
    </xf>
    <xf numFmtId="178" fontId="4" fillId="0" borderId="2" xfId="0" applyNumberFormat="1" applyFont="1" applyBorder="1" applyAlignment="1">
      <alignment horizontal="center"/>
    </xf>
    <xf numFmtId="178" fontId="4" fillId="0" borderId="11" xfId="0" applyNumberFormat="1" applyFont="1" applyBorder="1" applyAlignment="1">
      <alignment horizontal="center"/>
    </xf>
    <xf numFmtId="183" fontId="8" fillId="0" borderId="2" xfId="0" applyNumberFormat="1" applyFont="1" applyBorder="1" applyAlignment="1">
      <alignment horizontal="center"/>
    </xf>
    <xf numFmtId="183" fontId="8" fillId="0" borderId="0" xfId="0" applyNumberFormat="1" applyFont="1" applyBorder="1" applyAlignment="1">
      <alignment horizontal="center"/>
    </xf>
    <xf numFmtId="183" fontId="8" fillId="0" borderId="11" xfId="0" applyNumberFormat="1" applyFont="1" applyBorder="1" applyAlignment="1">
      <alignment horizontal="center"/>
    </xf>
    <xf numFmtId="179" fontId="4" fillId="0" borderId="1" xfId="0" applyNumberFormat="1" applyFont="1" applyBorder="1" applyAlignment="1">
      <alignment horizontal="center"/>
    </xf>
    <xf numFmtId="179" fontId="8" fillId="0" borderId="4" xfId="0" applyNumberFormat="1" applyFont="1" applyBorder="1" applyAlignment="1">
      <alignment horizontal="center"/>
    </xf>
    <xf numFmtId="179" fontId="8" fillId="0" borderId="12" xfId="0" applyNumberFormat="1" applyFont="1" applyBorder="1" applyAlignment="1">
      <alignment horizontal="center"/>
    </xf>
    <xf numFmtId="179" fontId="8" fillId="0" borderId="5" xfId="0" applyNumberFormat="1" applyFont="1" applyBorder="1" applyAlignment="1">
      <alignment horizontal="center"/>
    </xf>
    <xf numFmtId="176" fontId="0" fillId="0" borderId="0" xfId="0" applyNumberFormat="1"/>
    <xf numFmtId="0" fontId="10" fillId="0" borderId="0" xfId="2" applyFont="1">
      <alignment vertical="center"/>
    </xf>
    <xf numFmtId="0" fontId="10" fillId="0" borderId="0" xfId="2" applyFont="1" applyAlignment="1">
      <alignment horizontal="right" vertical="center"/>
    </xf>
    <xf numFmtId="0" fontId="13" fillId="0" borderId="0" xfId="3" applyFont="1" applyAlignment="1">
      <alignment horizontal="right"/>
    </xf>
    <xf numFmtId="0" fontId="10" fillId="0" borderId="0" xfId="2" applyFont="1" applyAlignment="1">
      <alignment horizontal="center" vertical="center"/>
    </xf>
    <xf numFmtId="2" fontId="10" fillId="0" borderId="0" xfId="2" applyNumberFormat="1" applyFont="1" applyAlignment="1">
      <alignment horizontal="right" vertical="center"/>
    </xf>
    <xf numFmtId="2" fontId="10" fillId="0" borderId="0" xfId="2" applyNumberFormat="1" applyFont="1">
      <alignment vertical="center"/>
    </xf>
    <xf numFmtId="185" fontId="10" fillId="0" borderId="0" xfId="2" applyNumberFormat="1" applyFont="1">
      <alignment vertical="center"/>
    </xf>
    <xf numFmtId="1" fontId="10" fillId="0" borderId="0" xfId="2" applyNumberFormat="1" applyFont="1" applyAlignment="1">
      <alignment horizontal="right" vertical="center"/>
    </xf>
    <xf numFmtId="0" fontId="14" fillId="0" borderId="0" xfId="0" applyFont="1"/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6" fillId="0" borderId="0" xfId="4" applyFont="1" applyFill="1" applyBorder="1" applyAlignment="1">
      <alignment horizontal="left" vertical="top"/>
    </xf>
    <xf numFmtId="0" fontId="16" fillId="0" borderId="33" xfId="4" applyFont="1" applyFill="1" applyBorder="1" applyAlignment="1">
      <alignment horizontal="left" vertical="top" wrapText="1"/>
    </xf>
    <xf numFmtId="1" fontId="16" fillId="0" borderId="24" xfId="4" applyNumberFormat="1" applyFont="1" applyFill="1" applyBorder="1" applyAlignment="1">
      <alignment vertical="top" shrinkToFit="1"/>
    </xf>
    <xf numFmtId="1" fontId="16" fillId="0" borderId="25" xfId="4" applyNumberFormat="1" applyFont="1" applyFill="1" applyBorder="1" applyAlignment="1">
      <alignment vertical="top" shrinkToFit="1"/>
    </xf>
    <xf numFmtId="1" fontId="16" fillId="0" borderId="26" xfId="4" applyNumberFormat="1" applyFont="1" applyFill="1" applyBorder="1" applyAlignment="1">
      <alignment vertical="top" shrinkToFit="1"/>
    </xf>
    <xf numFmtId="185" fontId="16" fillId="0" borderId="25" xfId="4" applyNumberFormat="1" applyFont="1" applyFill="1" applyBorder="1" applyAlignment="1">
      <alignment vertical="top" shrinkToFit="1"/>
    </xf>
    <xf numFmtId="1" fontId="16" fillId="0" borderId="34" xfId="4" applyNumberFormat="1" applyFont="1" applyFill="1" applyBorder="1" applyAlignment="1">
      <alignment vertical="top" shrinkToFit="1"/>
    </xf>
    <xf numFmtId="1" fontId="16" fillId="0" borderId="32" xfId="4" applyNumberFormat="1" applyFont="1" applyFill="1" applyBorder="1" applyAlignment="1">
      <alignment vertical="top" shrinkToFit="1"/>
    </xf>
    <xf numFmtId="1" fontId="16" fillId="2" borderId="24" xfId="4" applyNumberFormat="1" applyFont="1" applyFill="1" applyBorder="1" applyAlignment="1">
      <alignment vertical="top" shrinkToFit="1"/>
    </xf>
    <xf numFmtId="1" fontId="16" fillId="2" borderId="25" xfId="4" applyNumberFormat="1" applyFont="1" applyFill="1" applyBorder="1" applyAlignment="1">
      <alignment vertical="top" shrinkToFit="1"/>
    </xf>
    <xf numFmtId="1" fontId="16" fillId="2" borderId="26" xfId="4" applyNumberFormat="1" applyFont="1" applyFill="1" applyBorder="1" applyAlignment="1">
      <alignment vertical="top" shrinkToFit="1"/>
    </xf>
    <xf numFmtId="185" fontId="16" fillId="2" borderId="25" xfId="4" applyNumberFormat="1" applyFont="1" applyFill="1" applyBorder="1" applyAlignment="1">
      <alignment vertical="top" shrinkToFit="1"/>
    </xf>
    <xf numFmtId="1" fontId="16" fillId="2" borderId="34" xfId="4" applyNumberFormat="1" applyFont="1" applyFill="1" applyBorder="1" applyAlignment="1">
      <alignment vertical="top" shrinkToFit="1"/>
    </xf>
    <xf numFmtId="1" fontId="16" fillId="2" borderId="32" xfId="4" applyNumberFormat="1" applyFont="1" applyFill="1" applyBorder="1" applyAlignment="1">
      <alignment vertical="top" shrinkToFit="1"/>
    </xf>
    <xf numFmtId="1" fontId="16" fillId="0" borderId="33" xfId="4" applyNumberFormat="1" applyFont="1" applyFill="1" applyBorder="1" applyAlignment="1">
      <alignment horizontal="right" vertical="top" shrinkToFit="1"/>
    </xf>
    <xf numFmtId="1" fontId="16" fillId="2" borderId="33" xfId="4" applyNumberFormat="1" applyFont="1" applyFill="1" applyBorder="1" applyAlignment="1">
      <alignment horizontal="right" vertical="top" shrinkToFit="1"/>
    </xf>
    <xf numFmtId="1" fontId="16" fillId="0" borderId="0" xfId="4" applyNumberFormat="1" applyFont="1" applyFill="1" applyBorder="1" applyAlignment="1">
      <alignment vertical="top" shrinkToFit="1"/>
    </xf>
    <xf numFmtId="0" fontId="14" fillId="0" borderId="0" xfId="4" applyFont="1" applyFill="1" applyBorder="1" applyAlignment="1">
      <alignment horizontal="center" vertical="top" wrapText="1"/>
    </xf>
    <xf numFmtId="2" fontId="16" fillId="0" borderId="0" xfId="4" applyNumberFormat="1" applyFont="1" applyFill="1" applyBorder="1" applyAlignment="1">
      <alignment horizontal="center" vertical="top" shrinkToFit="1"/>
    </xf>
    <xf numFmtId="1" fontId="16" fillId="0" borderId="0" xfId="4" applyNumberFormat="1" applyFont="1" applyFill="1" applyBorder="1" applyAlignment="1">
      <alignment horizontal="right" vertical="top" shrinkToFit="1"/>
    </xf>
    <xf numFmtId="1" fontId="16" fillId="0" borderId="0" xfId="4" applyNumberFormat="1" applyFont="1" applyFill="1" applyBorder="1" applyAlignment="1">
      <alignment horizontal="left" vertical="top" indent="1" shrinkToFit="1"/>
    </xf>
    <xf numFmtId="1" fontId="16" fillId="0" borderId="0" xfId="4" applyNumberFormat="1" applyFont="1" applyFill="1" applyBorder="1" applyAlignment="1">
      <alignment horizontal="left" vertical="top" shrinkToFit="1"/>
    </xf>
    <xf numFmtId="1" fontId="16" fillId="0" borderId="0" xfId="4" applyNumberFormat="1" applyFont="1" applyFill="1" applyBorder="1" applyAlignment="1">
      <alignment horizontal="center" vertical="top" shrinkToFit="1"/>
    </xf>
    <xf numFmtId="1" fontId="16" fillId="0" borderId="0" xfId="4" applyNumberFormat="1" applyFont="1" applyFill="1" applyBorder="1" applyAlignment="1">
      <alignment horizontal="right" vertical="top" indent="2" shrinkToFit="1"/>
    </xf>
    <xf numFmtId="0" fontId="14" fillId="2" borderId="27" xfId="4" applyFont="1" applyFill="1" applyBorder="1" applyAlignment="1">
      <alignment vertical="top" wrapText="1"/>
    </xf>
    <xf numFmtId="0" fontId="14" fillId="2" borderId="29" xfId="4" applyFont="1" applyFill="1" applyBorder="1" applyAlignment="1">
      <alignment vertical="top" wrapText="1"/>
    </xf>
    <xf numFmtId="0" fontId="14" fillId="0" borderId="27" xfId="4" applyFont="1" applyFill="1" applyBorder="1" applyAlignment="1">
      <alignment vertical="top" wrapText="1"/>
    </xf>
    <xf numFmtId="0" fontId="14" fillId="0" borderId="29" xfId="4" applyFont="1" applyFill="1" applyBorder="1" applyAlignment="1">
      <alignment vertical="top" wrapText="1"/>
    </xf>
    <xf numFmtId="0" fontId="14" fillId="0" borderId="25" xfId="4" applyFont="1" applyFill="1" applyBorder="1" applyAlignment="1">
      <alignment vertical="top" wrapText="1"/>
    </xf>
    <xf numFmtId="0" fontId="14" fillId="0" borderId="26" xfId="4" applyFont="1" applyFill="1" applyBorder="1" applyAlignment="1">
      <alignment vertical="top" wrapText="1"/>
    </xf>
    <xf numFmtId="0" fontId="14" fillId="0" borderId="31" xfId="4" applyFont="1" applyFill="1" applyBorder="1" applyAlignment="1">
      <alignment vertical="top" wrapText="1"/>
    </xf>
    <xf numFmtId="0" fontId="14" fillId="0" borderId="32" xfId="4" applyFont="1" applyFill="1" applyBorder="1" applyAlignment="1">
      <alignment vertical="top" wrapText="1"/>
    </xf>
    <xf numFmtId="1" fontId="16" fillId="0" borderId="27" xfId="4" applyNumberFormat="1" applyFont="1" applyFill="1" applyBorder="1" applyAlignment="1">
      <alignment horizontal="center" vertical="top" shrinkToFit="1"/>
    </xf>
    <xf numFmtId="1" fontId="16" fillId="2" borderId="27" xfId="4" applyNumberFormat="1" applyFont="1" applyFill="1" applyBorder="1" applyAlignment="1">
      <alignment horizontal="center" vertical="top" shrinkToFit="1"/>
    </xf>
    <xf numFmtId="1" fontId="16" fillId="2" borderId="27" xfId="4" applyNumberFormat="1" applyFont="1" applyFill="1" applyBorder="1" applyAlignment="1">
      <alignment vertical="top" shrinkToFit="1"/>
    </xf>
    <xf numFmtId="1" fontId="16" fillId="2" borderId="29" xfId="4" applyNumberFormat="1" applyFont="1" applyFill="1" applyBorder="1" applyAlignment="1">
      <alignment vertical="top" shrinkToFit="1"/>
    </xf>
    <xf numFmtId="1" fontId="16" fillId="0" borderId="27" xfId="4" applyNumberFormat="1" applyFont="1" applyFill="1" applyBorder="1" applyAlignment="1">
      <alignment vertical="top" shrinkToFit="1"/>
    </xf>
    <xf numFmtId="1" fontId="16" fillId="0" borderId="29" xfId="4" applyNumberFormat="1" applyFont="1" applyFill="1" applyBorder="1" applyAlignment="1">
      <alignment vertical="top" shrinkToFit="1"/>
    </xf>
    <xf numFmtId="185" fontId="16" fillId="2" borderId="27" xfId="4" applyNumberFormat="1" applyFont="1" applyFill="1" applyBorder="1" applyAlignment="1">
      <alignment vertical="top" shrinkToFit="1"/>
    </xf>
    <xf numFmtId="185" fontId="16" fillId="0" borderId="27" xfId="4" applyNumberFormat="1" applyFont="1" applyFill="1" applyBorder="1" applyAlignment="1">
      <alignment vertical="top" shrinkToFit="1"/>
    </xf>
    <xf numFmtId="2" fontId="16" fillId="2" borderId="27" xfId="4" applyNumberFormat="1" applyFont="1" applyFill="1" applyBorder="1" applyAlignment="1">
      <alignment vertical="top" shrinkToFit="1"/>
    </xf>
    <xf numFmtId="2" fontId="16" fillId="0" borderId="27" xfId="4" applyNumberFormat="1" applyFont="1" applyFill="1" applyBorder="1" applyAlignment="1">
      <alignment vertical="top" shrinkToFit="1"/>
    </xf>
    <xf numFmtId="0" fontId="14" fillId="0" borderId="35" xfId="4" applyFont="1" applyFill="1" applyBorder="1" applyAlignment="1">
      <alignment horizontal="left" vertical="top" wrapText="1" indent="2"/>
    </xf>
    <xf numFmtId="0" fontId="16" fillId="0" borderId="31" xfId="4" applyFont="1" applyFill="1" applyBorder="1" applyAlignment="1">
      <alignment horizontal="left" vertical="top" wrapText="1"/>
    </xf>
    <xf numFmtId="1" fontId="16" fillId="0" borderId="25" xfId="4" applyNumberFormat="1" applyFont="1" applyFill="1" applyBorder="1" applyAlignment="1">
      <alignment horizontal="right" vertical="top" shrinkToFit="1"/>
    </xf>
    <xf numFmtId="1" fontId="16" fillId="2" borderId="25" xfId="4" applyNumberFormat="1" applyFont="1" applyFill="1" applyBorder="1" applyAlignment="1">
      <alignment horizontal="right" vertical="top" shrinkToFit="1"/>
    </xf>
    <xf numFmtId="38" fontId="16" fillId="0" borderId="26" xfId="1" applyFont="1" applyFill="1" applyBorder="1" applyAlignment="1">
      <alignment vertical="top" shrinkToFit="1"/>
    </xf>
    <xf numFmtId="38" fontId="16" fillId="0" borderId="29" xfId="1" applyFont="1" applyFill="1" applyBorder="1" applyAlignment="1">
      <alignment vertical="top" shrinkToFit="1"/>
    </xf>
    <xf numFmtId="38" fontId="16" fillId="0" borderId="29" xfId="1" applyFont="1" applyFill="1" applyBorder="1" applyAlignment="1">
      <alignment horizontal="center" vertical="top" shrinkToFit="1"/>
    </xf>
    <xf numFmtId="38" fontId="16" fillId="2" borderId="26" xfId="1" applyFont="1" applyFill="1" applyBorder="1" applyAlignment="1">
      <alignment vertical="top" shrinkToFit="1"/>
    </xf>
    <xf numFmtId="38" fontId="16" fillId="2" borderId="29" xfId="1" applyFont="1" applyFill="1" applyBorder="1" applyAlignment="1">
      <alignment vertical="top" shrinkToFit="1"/>
    </xf>
    <xf numFmtId="38" fontId="16" fillId="2" borderId="29" xfId="1" applyFont="1" applyFill="1" applyBorder="1" applyAlignment="1">
      <alignment horizontal="center" vertical="top" shrinkToFit="1"/>
    </xf>
    <xf numFmtId="0" fontId="16" fillId="0" borderId="0" xfId="4" applyFont="1" applyFill="1" applyBorder="1" applyAlignment="1">
      <alignment horizontal="right" vertical="top"/>
    </xf>
    <xf numFmtId="0" fontId="16" fillId="0" borderId="0" xfId="4" applyFont="1" applyFill="1" applyBorder="1" applyAlignment="1">
      <alignment vertical="top"/>
    </xf>
    <xf numFmtId="1" fontId="16" fillId="0" borderId="29" xfId="4" applyNumberFormat="1" applyFont="1" applyFill="1" applyBorder="1" applyAlignment="1">
      <alignment horizontal="right" vertical="top" indent="2"/>
    </xf>
    <xf numFmtId="1" fontId="16" fillId="2" borderId="29" xfId="4" applyNumberFormat="1" applyFont="1" applyFill="1" applyBorder="1" applyAlignment="1">
      <alignment horizontal="right" vertical="top" indent="2"/>
    </xf>
    <xf numFmtId="0" fontId="16" fillId="0" borderId="27" xfId="4" applyNumberFormat="1" applyFont="1" applyFill="1" applyBorder="1" applyAlignment="1">
      <alignment vertical="top" shrinkToFit="1"/>
    </xf>
    <xf numFmtId="0" fontId="16" fillId="0" borderId="27" xfId="4" applyNumberFormat="1" applyFont="1" applyFill="1" applyBorder="1" applyAlignment="1">
      <alignment horizontal="right" vertical="top" shrinkToFit="1"/>
    </xf>
    <xf numFmtId="0" fontId="16" fillId="2" borderId="27" xfId="4" applyNumberFormat="1" applyFont="1" applyFill="1" applyBorder="1" applyAlignment="1">
      <alignment horizontal="right" vertical="top" shrinkToFit="1"/>
    </xf>
    <xf numFmtId="179" fontId="16" fillId="0" borderId="27" xfId="4" applyNumberFormat="1" applyFont="1" applyFill="1" applyBorder="1" applyAlignment="1">
      <alignment vertical="top"/>
    </xf>
    <xf numFmtId="179" fontId="16" fillId="0" borderId="29" xfId="4" applyNumberFormat="1" applyFont="1" applyFill="1" applyBorder="1" applyAlignment="1">
      <alignment vertical="top"/>
    </xf>
    <xf numFmtId="179" fontId="16" fillId="2" borderId="27" xfId="4" applyNumberFormat="1" applyFont="1" applyFill="1" applyBorder="1" applyAlignment="1">
      <alignment vertical="top"/>
    </xf>
    <xf numFmtId="179" fontId="16" fillId="2" borderId="29" xfId="4" applyNumberFormat="1" applyFont="1" applyFill="1" applyBorder="1" applyAlignment="1">
      <alignment vertical="top"/>
    </xf>
    <xf numFmtId="0" fontId="14" fillId="0" borderId="0" xfId="0" applyFont="1" applyAlignment="1"/>
    <xf numFmtId="0" fontId="20" fillId="0" borderId="0" xfId="0" quotePrefix="1" applyFont="1" applyAlignment="1">
      <alignment horizontal="center"/>
    </xf>
    <xf numFmtId="0" fontId="20" fillId="0" borderId="0" xfId="0" applyFont="1" applyAlignment="1">
      <alignment horizontal="center"/>
    </xf>
    <xf numFmtId="179" fontId="14" fillId="0" borderId="0" xfId="0" applyNumberFormat="1" applyFont="1" applyAlignment="1">
      <alignment horizontal="center"/>
    </xf>
    <xf numFmtId="178" fontId="14" fillId="0" borderId="0" xfId="0" applyNumberFormat="1" applyFont="1" applyAlignment="1">
      <alignment horizontal="center"/>
    </xf>
    <xf numFmtId="176" fontId="14" fillId="0" borderId="0" xfId="0" applyNumberFormat="1" applyFont="1" applyAlignment="1">
      <alignment horizontal="center"/>
    </xf>
    <xf numFmtId="0" fontId="14" fillId="0" borderId="0" xfId="0" applyFont="1" applyBorder="1"/>
    <xf numFmtId="0" fontId="14" fillId="0" borderId="0" xfId="0" quotePrefix="1" applyFont="1" applyAlignment="1">
      <alignment horizontal="left"/>
    </xf>
    <xf numFmtId="0" fontId="20" fillId="0" borderId="0" xfId="0" quotePrefix="1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180" fontId="14" fillId="0" borderId="0" xfId="0" applyNumberFormat="1" applyFont="1" applyBorder="1" applyAlignment="1">
      <alignment horizontal="center"/>
    </xf>
    <xf numFmtId="179" fontId="14" fillId="0" borderId="0" xfId="0" applyNumberFormat="1" applyFont="1" applyBorder="1" applyAlignment="1">
      <alignment horizontal="center"/>
    </xf>
    <xf numFmtId="178" fontId="14" fillId="0" borderId="0" xfId="0" applyNumberFormat="1" applyFont="1" applyBorder="1" applyAlignment="1">
      <alignment horizontal="center"/>
    </xf>
    <xf numFmtId="176" fontId="14" fillId="0" borderId="0" xfId="0" applyNumberFormat="1" applyFont="1" applyBorder="1" applyAlignment="1">
      <alignment horizontal="center"/>
    </xf>
    <xf numFmtId="0" fontId="14" fillId="0" borderId="0" xfId="0" applyFont="1" applyAlignment="1">
      <alignment horizontal="left"/>
    </xf>
    <xf numFmtId="0" fontId="14" fillId="0" borderId="0" xfId="0" quotePrefix="1" applyFont="1" applyAlignment="1">
      <alignment horizontal="center"/>
    </xf>
    <xf numFmtId="181" fontId="14" fillId="0" borderId="0" xfId="0" applyNumberFormat="1" applyFont="1" applyAlignment="1">
      <alignment horizontal="right"/>
    </xf>
    <xf numFmtId="185" fontId="20" fillId="0" borderId="0" xfId="0" applyNumberFormat="1" applyFont="1" applyAlignment="1">
      <alignment horizontal="center"/>
    </xf>
    <xf numFmtId="179" fontId="14" fillId="0" borderId="0" xfId="0" applyNumberFormat="1" applyFont="1" applyAlignment="1">
      <alignment horizontal="right"/>
    </xf>
    <xf numFmtId="179" fontId="14" fillId="0" borderId="0" xfId="0" applyNumberFormat="1" applyFont="1"/>
    <xf numFmtId="0" fontId="14" fillId="0" borderId="0" xfId="0" quotePrefix="1" applyFont="1" applyBorder="1" applyAlignment="1">
      <alignment horizontal="center"/>
    </xf>
    <xf numFmtId="181" fontId="14" fillId="0" borderId="0" xfId="0" applyNumberFormat="1" applyFont="1" applyBorder="1" applyAlignment="1">
      <alignment horizontal="right"/>
    </xf>
    <xf numFmtId="0" fontId="20" fillId="0" borderId="0" xfId="0" applyFont="1" applyBorder="1" applyAlignment="1">
      <alignment horizontal="center"/>
    </xf>
    <xf numFmtId="179" fontId="14" fillId="0" borderId="0" xfId="0" applyNumberFormat="1" applyFont="1" applyBorder="1"/>
    <xf numFmtId="179" fontId="14" fillId="0" borderId="0" xfId="0" applyNumberFormat="1" applyFont="1" applyBorder="1" applyAlignment="1">
      <alignment horizontal="right"/>
    </xf>
    <xf numFmtId="0" fontId="14" fillId="0" borderId="0" xfId="0" applyNumberFormat="1" applyFont="1" applyAlignment="1">
      <alignment horizontal="right"/>
    </xf>
    <xf numFmtId="178" fontId="14" fillId="0" borderId="0" xfId="0" applyNumberFormat="1" applyFont="1" applyAlignment="1">
      <alignment horizontal="right"/>
    </xf>
    <xf numFmtId="176" fontId="14" fillId="0" borderId="0" xfId="0" applyNumberFormat="1" applyFont="1"/>
    <xf numFmtId="178" fontId="14" fillId="0" borderId="0" xfId="0" applyNumberFormat="1" applyFont="1"/>
    <xf numFmtId="176" fontId="14" fillId="0" borderId="0" xfId="0" applyNumberFormat="1" applyFont="1" applyAlignment="1">
      <alignment horizontal="right"/>
    </xf>
    <xf numFmtId="184" fontId="14" fillId="0" borderId="0" xfId="0" applyNumberFormat="1" applyFont="1" applyAlignment="1">
      <alignment horizontal="center"/>
    </xf>
    <xf numFmtId="181" fontId="14" fillId="0" borderId="0" xfId="0" applyNumberFormat="1" applyFont="1" applyAlignment="1">
      <alignment horizontal="center"/>
    </xf>
    <xf numFmtId="11" fontId="14" fillId="0" borderId="0" xfId="0" applyNumberFormat="1" applyFont="1" applyAlignment="1">
      <alignment horizontal="center"/>
    </xf>
    <xf numFmtId="177" fontId="14" fillId="0" borderId="0" xfId="0" applyNumberFormat="1" applyFont="1" applyBorder="1" applyAlignment="1">
      <alignment horizontal="center"/>
    </xf>
    <xf numFmtId="183" fontId="14" fillId="0" borderId="0" xfId="0" applyNumberFormat="1" applyFont="1" applyBorder="1" applyAlignment="1">
      <alignment horizontal="center"/>
    </xf>
    <xf numFmtId="0" fontId="16" fillId="0" borderId="25" xfId="4" applyFont="1" applyFill="1" applyBorder="1" applyAlignment="1">
      <alignment vertical="top" wrapText="1"/>
    </xf>
    <xf numFmtId="0" fontId="16" fillId="0" borderId="26" xfId="4" applyFont="1" applyFill="1" applyBorder="1" applyAlignment="1">
      <alignment vertical="top" wrapText="1"/>
    </xf>
    <xf numFmtId="0" fontId="16" fillId="0" borderId="31" xfId="4" applyFont="1" applyFill="1" applyBorder="1" applyAlignment="1">
      <alignment vertical="top" wrapText="1"/>
    </xf>
    <xf numFmtId="0" fontId="16" fillId="0" borderId="32" xfId="4" applyFont="1" applyFill="1" applyBorder="1" applyAlignment="1">
      <alignment vertical="top" wrapText="1"/>
    </xf>
    <xf numFmtId="0" fontId="16" fillId="0" borderId="27" xfId="4" applyFont="1" applyFill="1" applyBorder="1" applyAlignment="1">
      <alignment vertical="top" wrapText="1"/>
    </xf>
    <xf numFmtId="0" fontId="16" fillId="0" borderId="29" xfId="4" applyFont="1" applyFill="1" applyBorder="1" applyAlignment="1">
      <alignment vertical="top" wrapText="1"/>
    </xf>
    <xf numFmtId="0" fontId="16" fillId="0" borderId="24" xfId="4" applyFont="1" applyFill="1" applyBorder="1" applyAlignment="1">
      <alignment vertical="top" wrapText="1"/>
    </xf>
    <xf numFmtId="0" fontId="16" fillId="0" borderId="30" xfId="4" applyFont="1" applyFill="1" applyBorder="1" applyAlignment="1">
      <alignment vertical="top" wrapText="1"/>
    </xf>
    <xf numFmtId="0" fontId="14" fillId="0" borderId="28" xfId="4" applyFont="1" applyFill="1" applyBorder="1" applyAlignment="1">
      <alignment vertical="top" wrapText="1"/>
    </xf>
    <xf numFmtId="38" fontId="14" fillId="0" borderId="0" xfId="1" applyFont="1" applyAlignment="1">
      <alignment horizontal="right"/>
    </xf>
    <xf numFmtId="38" fontId="16" fillId="0" borderId="0" xfId="1" applyFont="1" applyFill="1" applyBorder="1" applyAlignment="1">
      <alignment horizontal="left" vertical="top"/>
    </xf>
    <xf numFmtId="0" fontId="16" fillId="0" borderId="35" xfId="4" applyFont="1" applyFill="1" applyBorder="1" applyAlignment="1">
      <alignment vertical="top" wrapText="1"/>
    </xf>
    <xf numFmtId="0" fontId="16" fillId="0" borderId="36" xfId="4" applyFont="1" applyFill="1" applyBorder="1" applyAlignment="1">
      <alignment vertical="top" wrapText="1"/>
    </xf>
    <xf numFmtId="38" fontId="16" fillId="0" borderId="28" xfId="1" applyFont="1" applyFill="1" applyBorder="1" applyAlignment="1">
      <alignment horizontal="center" vertical="top" shrinkToFit="1"/>
    </xf>
    <xf numFmtId="38" fontId="16" fillId="2" borderId="28" xfId="1" applyFont="1" applyFill="1" applyBorder="1" applyAlignment="1">
      <alignment horizontal="center" vertical="top" shrinkToFit="1"/>
    </xf>
    <xf numFmtId="38" fontId="16" fillId="0" borderId="0" xfId="1" applyFont="1" applyFill="1" applyBorder="1" applyAlignment="1">
      <alignment horizontal="center" vertical="top" shrinkToFit="1"/>
    </xf>
    <xf numFmtId="186" fontId="16" fillId="0" borderId="28" xfId="1" applyNumberFormat="1" applyFont="1" applyFill="1" applyBorder="1" applyAlignment="1">
      <alignment horizontal="center" vertical="top" shrinkToFit="1"/>
    </xf>
    <xf numFmtId="186" fontId="16" fillId="2" borderId="28" xfId="1" applyNumberFormat="1" applyFont="1" applyFill="1" applyBorder="1" applyAlignment="1">
      <alignment horizontal="center" vertical="top" shrinkToFit="1"/>
    </xf>
    <xf numFmtId="38" fontId="16" fillId="0" borderId="0" xfId="4" applyNumberFormat="1" applyFont="1" applyFill="1" applyBorder="1" applyAlignment="1">
      <alignment horizontal="left" vertical="top"/>
    </xf>
    <xf numFmtId="0" fontId="21" fillId="0" borderId="0" xfId="0" applyFont="1"/>
    <xf numFmtId="0" fontId="21" fillId="0" borderId="0" xfId="0" applyFont="1" applyAlignment="1">
      <alignment horizontal="center"/>
    </xf>
    <xf numFmtId="0" fontId="22" fillId="0" borderId="0" xfId="0" quotePrefix="1" applyFont="1" applyAlignment="1">
      <alignment horizontal="center"/>
    </xf>
    <xf numFmtId="179" fontId="22" fillId="0" borderId="0" xfId="0" applyNumberFormat="1" applyFont="1"/>
    <xf numFmtId="0" fontId="22" fillId="0" borderId="0" xfId="0" applyFont="1" applyAlignment="1">
      <alignment horizontal="right"/>
    </xf>
    <xf numFmtId="0" fontId="22" fillId="0" borderId="0" xfId="0" applyFont="1" applyAlignment="1">
      <alignment horizontal="center"/>
    </xf>
    <xf numFmtId="179" fontId="21" fillId="0" borderId="0" xfId="0" applyNumberFormat="1" applyFont="1"/>
    <xf numFmtId="181" fontId="21" fillId="0" borderId="0" xfId="0" applyNumberFormat="1" applyFont="1" applyAlignment="1">
      <alignment horizontal="center"/>
    </xf>
    <xf numFmtId="179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21" fillId="0" borderId="0" xfId="0" applyFont="1" applyAlignment="1"/>
    <xf numFmtId="178" fontId="21" fillId="0" borderId="0" xfId="0" applyNumberFormat="1" applyFont="1" applyAlignment="1">
      <alignment horizontal="center"/>
    </xf>
    <xf numFmtId="181" fontId="21" fillId="0" borderId="0" xfId="0" applyNumberFormat="1" applyFont="1" applyAlignment="1">
      <alignment horizontal="right"/>
    </xf>
    <xf numFmtId="0" fontId="21" fillId="0" borderId="0" xfId="0" applyFont="1" applyBorder="1"/>
    <xf numFmtId="0" fontId="21" fillId="0" borderId="0" xfId="0" applyFont="1" applyBorder="1" applyAlignment="1">
      <alignment horizontal="center"/>
    </xf>
    <xf numFmtId="182" fontId="21" fillId="0" borderId="0" xfId="0" applyNumberFormat="1" applyFont="1" applyBorder="1" applyAlignment="1">
      <alignment horizontal="center"/>
    </xf>
    <xf numFmtId="177" fontId="21" fillId="0" borderId="0" xfId="0" applyNumberFormat="1" applyFont="1" applyBorder="1" applyAlignment="1">
      <alignment horizontal="center"/>
    </xf>
    <xf numFmtId="0" fontId="21" fillId="0" borderId="0" xfId="0" applyFont="1" applyBorder="1" applyAlignment="1">
      <alignment horizontal="right"/>
    </xf>
    <xf numFmtId="182" fontId="21" fillId="0" borderId="0" xfId="0" applyNumberFormat="1" applyFont="1" applyAlignment="1">
      <alignment horizontal="center"/>
    </xf>
    <xf numFmtId="183" fontId="21" fillId="0" borderId="0" xfId="0" applyNumberFormat="1" applyFont="1" applyAlignment="1">
      <alignment horizontal="center"/>
    </xf>
    <xf numFmtId="176" fontId="21" fillId="0" borderId="0" xfId="0" applyNumberFormat="1" applyFont="1" applyAlignment="1">
      <alignment horizontal="center"/>
    </xf>
    <xf numFmtId="178" fontId="21" fillId="0" borderId="0" xfId="0" applyNumberFormat="1" applyFont="1"/>
    <xf numFmtId="2" fontId="16" fillId="0" borderId="27" xfId="4" applyNumberFormat="1" applyFont="1" applyFill="1" applyBorder="1" applyAlignment="1">
      <alignment horizontal="center" vertical="top" shrinkToFit="1"/>
    </xf>
    <xf numFmtId="2" fontId="16" fillId="0" borderId="29" xfId="4" applyNumberFormat="1" applyFont="1" applyFill="1" applyBorder="1" applyAlignment="1">
      <alignment horizontal="center" vertical="top" shrinkToFit="1"/>
    </xf>
    <xf numFmtId="3" fontId="16" fillId="0" borderId="27" xfId="4" applyNumberFormat="1" applyFont="1" applyFill="1" applyBorder="1" applyAlignment="1">
      <alignment horizontal="right" vertical="top" shrinkToFit="1"/>
    </xf>
    <xf numFmtId="3" fontId="16" fillId="0" borderId="29" xfId="4" applyNumberFormat="1" applyFont="1" applyFill="1" applyBorder="1" applyAlignment="1">
      <alignment horizontal="right" vertical="top" shrinkToFit="1"/>
    </xf>
    <xf numFmtId="3" fontId="16" fillId="0" borderId="27" xfId="4" applyNumberFormat="1" applyFont="1" applyFill="1" applyBorder="1" applyAlignment="1">
      <alignment horizontal="right" vertical="top" indent="1" shrinkToFit="1"/>
    </xf>
    <xf numFmtId="3" fontId="16" fillId="0" borderId="28" xfId="4" applyNumberFormat="1" applyFont="1" applyFill="1" applyBorder="1" applyAlignment="1">
      <alignment horizontal="right" vertical="top" indent="1" shrinkToFit="1"/>
    </xf>
    <xf numFmtId="3" fontId="16" fillId="0" borderId="29" xfId="4" applyNumberFormat="1" applyFont="1" applyFill="1" applyBorder="1" applyAlignment="1">
      <alignment horizontal="right" vertical="top" indent="1" shrinkToFit="1"/>
    </xf>
    <xf numFmtId="3" fontId="16" fillId="0" borderId="25" xfId="4" applyNumberFormat="1" applyFont="1" applyFill="1" applyBorder="1" applyAlignment="1">
      <alignment horizontal="left" vertical="top" shrinkToFit="1"/>
    </xf>
    <xf numFmtId="3" fontId="16" fillId="0" borderId="26" xfId="4" applyNumberFormat="1" applyFont="1" applyFill="1" applyBorder="1" applyAlignment="1">
      <alignment horizontal="left" vertical="top" shrinkToFit="1"/>
    </xf>
    <xf numFmtId="3" fontId="16" fillId="0" borderId="37" xfId="4" applyNumberFormat="1" applyFont="1" applyFill="1" applyBorder="1" applyAlignment="1">
      <alignment horizontal="left" vertical="top" shrinkToFit="1"/>
    </xf>
    <xf numFmtId="3" fontId="16" fillId="0" borderId="34" xfId="4" applyNumberFormat="1" applyFont="1" applyFill="1" applyBorder="1" applyAlignment="1">
      <alignment horizontal="left" vertical="top" shrinkToFit="1"/>
    </xf>
    <xf numFmtId="3" fontId="16" fillId="0" borderId="31" xfId="4" applyNumberFormat="1" applyFont="1" applyFill="1" applyBorder="1" applyAlignment="1">
      <alignment horizontal="left" vertical="top" shrinkToFit="1"/>
    </xf>
    <xf numFmtId="3" fontId="16" fillId="0" borderId="32" xfId="4" applyNumberFormat="1" applyFont="1" applyFill="1" applyBorder="1" applyAlignment="1">
      <alignment horizontal="left" vertical="top" shrinkToFit="1"/>
    </xf>
    <xf numFmtId="0" fontId="14" fillId="0" borderId="27" xfId="4" applyFont="1" applyFill="1" applyBorder="1" applyAlignment="1">
      <alignment horizontal="right" vertical="top" wrapText="1"/>
    </xf>
    <xf numFmtId="0" fontId="14" fillId="0" borderId="29" xfId="4" applyFont="1" applyFill="1" applyBorder="1" applyAlignment="1">
      <alignment horizontal="right" vertical="top" wrapText="1"/>
    </xf>
    <xf numFmtId="3" fontId="16" fillId="0" borderId="25" xfId="4" applyNumberFormat="1" applyFont="1" applyFill="1" applyBorder="1" applyAlignment="1">
      <alignment horizontal="left" vertical="top" indent="1" shrinkToFit="1"/>
    </xf>
    <xf numFmtId="3" fontId="16" fillId="0" borderId="26" xfId="4" applyNumberFormat="1" applyFont="1" applyFill="1" applyBorder="1" applyAlignment="1">
      <alignment horizontal="left" vertical="top" indent="1" shrinkToFit="1"/>
    </xf>
    <xf numFmtId="3" fontId="16" fillId="0" borderId="37" xfId="4" applyNumberFormat="1" applyFont="1" applyFill="1" applyBorder="1" applyAlignment="1">
      <alignment horizontal="left" vertical="top" indent="1" shrinkToFit="1"/>
    </xf>
    <xf numFmtId="3" fontId="16" fillId="0" borderId="34" xfId="4" applyNumberFormat="1" applyFont="1" applyFill="1" applyBorder="1" applyAlignment="1">
      <alignment horizontal="left" vertical="top" indent="1" shrinkToFit="1"/>
    </xf>
    <xf numFmtId="3" fontId="16" fillId="0" borderId="31" xfId="4" applyNumberFormat="1" applyFont="1" applyFill="1" applyBorder="1" applyAlignment="1">
      <alignment horizontal="left" vertical="top" indent="1" shrinkToFit="1"/>
    </xf>
    <xf numFmtId="3" fontId="16" fillId="0" borderId="32" xfId="4" applyNumberFormat="1" applyFont="1" applyFill="1" applyBorder="1" applyAlignment="1">
      <alignment horizontal="left" vertical="top" indent="1" shrinkToFit="1"/>
    </xf>
    <xf numFmtId="1" fontId="16" fillId="0" borderId="25" xfId="4" applyNumberFormat="1" applyFont="1" applyFill="1" applyBorder="1" applyAlignment="1">
      <alignment horizontal="left" vertical="top" indent="1" shrinkToFit="1"/>
    </xf>
    <xf numFmtId="1" fontId="16" fillId="0" borderId="26" xfId="4" applyNumberFormat="1" applyFont="1" applyFill="1" applyBorder="1" applyAlignment="1">
      <alignment horizontal="left" vertical="top" indent="1" shrinkToFit="1"/>
    </xf>
    <xf numFmtId="1" fontId="16" fillId="0" borderId="37" xfId="4" applyNumberFormat="1" applyFont="1" applyFill="1" applyBorder="1" applyAlignment="1">
      <alignment horizontal="left" vertical="top" indent="1" shrinkToFit="1"/>
    </xf>
    <xf numFmtId="1" fontId="16" fillId="0" borderId="34" xfId="4" applyNumberFormat="1" applyFont="1" applyFill="1" applyBorder="1" applyAlignment="1">
      <alignment horizontal="left" vertical="top" indent="1" shrinkToFit="1"/>
    </xf>
    <xf numFmtId="1" fontId="16" fillId="0" borderId="31" xfId="4" applyNumberFormat="1" applyFont="1" applyFill="1" applyBorder="1" applyAlignment="1">
      <alignment horizontal="left" vertical="top" indent="1" shrinkToFit="1"/>
    </xf>
    <xf numFmtId="1" fontId="16" fillId="0" borderId="32" xfId="4" applyNumberFormat="1" applyFont="1" applyFill="1" applyBorder="1" applyAlignment="1">
      <alignment horizontal="left" vertical="top" indent="1" shrinkToFit="1"/>
    </xf>
    <xf numFmtId="1" fontId="16" fillId="0" borderId="24" xfId="4" applyNumberFormat="1" applyFont="1" applyFill="1" applyBorder="1" applyAlignment="1">
      <alignment horizontal="left" vertical="top" indent="1" shrinkToFit="1"/>
    </xf>
    <xf numFmtId="1" fontId="16" fillId="0" borderId="38" xfId="4" applyNumberFormat="1" applyFont="1" applyFill="1" applyBorder="1" applyAlignment="1">
      <alignment horizontal="left" vertical="top" indent="1" shrinkToFit="1"/>
    </xf>
    <xf numFmtId="1" fontId="16" fillId="0" borderId="30" xfId="4" applyNumberFormat="1" applyFont="1" applyFill="1" applyBorder="1" applyAlignment="1">
      <alignment horizontal="left" vertical="top" indent="1" shrinkToFit="1"/>
    </xf>
    <xf numFmtId="3" fontId="16" fillId="0" borderId="35" xfId="4" applyNumberFormat="1" applyFont="1" applyFill="1" applyBorder="1" applyAlignment="1">
      <alignment horizontal="left" vertical="top" indent="1" shrinkToFit="1"/>
    </xf>
    <xf numFmtId="3" fontId="16" fillId="0" borderId="0" xfId="4" applyNumberFormat="1" applyFont="1" applyFill="1" applyBorder="1" applyAlignment="1">
      <alignment horizontal="left" vertical="top" indent="1" shrinkToFit="1"/>
    </xf>
    <xf numFmtId="3" fontId="16" fillId="0" borderId="36" xfId="4" applyNumberFormat="1" applyFont="1" applyFill="1" applyBorder="1" applyAlignment="1">
      <alignment horizontal="left" vertical="top" indent="1" shrinkToFit="1"/>
    </xf>
    <xf numFmtId="1" fontId="16" fillId="0" borderId="25" xfId="4" applyNumberFormat="1" applyFont="1" applyFill="1" applyBorder="1" applyAlignment="1">
      <alignment horizontal="left" vertical="top" indent="3" shrinkToFit="1"/>
    </xf>
    <xf numFmtId="1" fontId="16" fillId="0" borderId="35" xfId="4" applyNumberFormat="1" applyFont="1" applyFill="1" applyBorder="1" applyAlignment="1">
      <alignment horizontal="left" vertical="top" indent="3" shrinkToFit="1"/>
    </xf>
    <xf numFmtId="1" fontId="16" fillId="0" borderId="26" xfId="4" applyNumberFormat="1" applyFont="1" applyFill="1" applyBorder="1" applyAlignment="1">
      <alignment horizontal="left" vertical="top" indent="3" shrinkToFit="1"/>
    </xf>
    <xf numFmtId="1" fontId="16" fillId="0" borderId="37" xfId="4" applyNumberFormat="1" applyFont="1" applyFill="1" applyBorder="1" applyAlignment="1">
      <alignment horizontal="left" vertical="top" indent="3" shrinkToFit="1"/>
    </xf>
    <xf numFmtId="1" fontId="16" fillId="0" borderId="0" xfId="4" applyNumberFormat="1" applyFont="1" applyFill="1" applyBorder="1" applyAlignment="1">
      <alignment horizontal="left" vertical="top" indent="3" shrinkToFit="1"/>
    </xf>
    <xf numFmtId="1" fontId="16" fillId="0" borderId="34" xfId="4" applyNumberFormat="1" applyFont="1" applyFill="1" applyBorder="1" applyAlignment="1">
      <alignment horizontal="left" vertical="top" indent="3" shrinkToFit="1"/>
    </xf>
    <xf numFmtId="1" fontId="16" fillId="0" borderId="31" xfId="4" applyNumberFormat="1" applyFont="1" applyFill="1" applyBorder="1" applyAlignment="1">
      <alignment horizontal="left" vertical="top" indent="3" shrinkToFit="1"/>
    </xf>
    <xf numFmtId="1" fontId="16" fillId="0" borderId="36" xfId="4" applyNumberFormat="1" applyFont="1" applyFill="1" applyBorder="1" applyAlignment="1">
      <alignment horizontal="left" vertical="top" indent="3" shrinkToFit="1"/>
    </xf>
    <xf numFmtId="1" fontId="16" fillId="0" borderId="32" xfId="4" applyNumberFormat="1" applyFont="1" applyFill="1" applyBorder="1" applyAlignment="1">
      <alignment horizontal="left" vertical="top" indent="3" shrinkToFit="1"/>
    </xf>
    <xf numFmtId="3" fontId="16" fillId="3" borderId="27" xfId="4" applyNumberFormat="1" applyFont="1" applyFill="1" applyBorder="1" applyAlignment="1">
      <alignment horizontal="right" vertical="top" shrinkToFit="1"/>
    </xf>
    <xf numFmtId="3" fontId="16" fillId="3" borderId="29" xfId="4" applyNumberFormat="1" applyFont="1" applyFill="1" applyBorder="1" applyAlignment="1">
      <alignment horizontal="right" vertical="top" shrinkToFit="1"/>
    </xf>
    <xf numFmtId="3" fontId="16" fillId="3" borderId="27" xfId="4" applyNumberFormat="1" applyFont="1" applyFill="1" applyBorder="1" applyAlignment="1">
      <alignment horizontal="right" vertical="top" indent="1" shrinkToFit="1"/>
    </xf>
    <xf numFmtId="3" fontId="16" fillId="3" borderId="28" xfId="4" applyNumberFormat="1" applyFont="1" applyFill="1" applyBorder="1" applyAlignment="1">
      <alignment horizontal="right" vertical="top" indent="1" shrinkToFit="1"/>
    </xf>
    <xf numFmtId="3" fontId="16" fillId="3" borderId="29" xfId="4" applyNumberFormat="1" applyFont="1" applyFill="1" applyBorder="1" applyAlignment="1">
      <alignment horizontal="right" vertical="top" indent="1" shrinkToFit="1"/>
    </xf>
    <xf numFmtId="2" fontId="16" fillId="3" borderId="27" xfId="4" applyNumberFormat="1" applyFont="1" applyFill="1" applyBorder="1" applyAlignment="1">
      <alignment horizontal="center" vertical="top" shrinkToFit="1"/>
    </xf>
    <xf numFmtId="2" fontId="16" fillId="3" borderId="29" xfId="4" applyNumberFormat="1" applyFont="1" applyFill="1" applyBorder="1" applyAlignment="1">
      <alignment horizontal="center" vertical="top" shrinkToFit="1"/>
    </xf>
    <xf numFmtId="1" fontId="16" fillId="0" borderId="25" xfId="4" applyNumberFormat="1" applyFont="1" applyFill="1" applyBorder="1" applyAlignment="1">
      <alignment horizontal="left" vertical="top" indent="2" shrinkToFit="1"/>
    </xf>
    <xf numFmtId="1" fontId="16" fillId="0" borderId="26" xfId="4" applyNumberFormat="1" applyFont="1" applyFill="1" applyBorder="1" applyAlignment="1">
      <alignment horizontal="left" vertical="top" indent="2" shrinkToFit="1"/>
    </xf>
    <xf numFmtId="1" fontId="16" fillId="0" borderId="37" xfId="4" applyNumberFormat="1" applyFont="1" applyFill="1" applyBorder="1" applyAlignment="1">
      <alignment horizontal="left" vertical="top" indent="2" shrinkToFit="1"/>
    </xf>
    <xf numFmtId="1" fontId="16" fillId="0" borderId="34" xfId="4" applyNumberFormat="1" applyFont="1" applyFill="1" applyBorder="1" applyAlignment="1">
      <alignment horizontal="left" vertical="top" indent="2" shrinkToFit="1"/>
    </xf>
    <xf numFmtId="1" fontId="16" fillId="0" borderId="31" xfId="4" applyNumberFormat="1" applyFont="1" applyFill="1" applyBorder="1" applyAlignment="1">
      <alignment horizontal="left" vertical="top" indent="2" shrinkToFit="1"/>
    </xf>
    <xf numFmtId="1" fontId="16" fillId="0" borderId="32" xfId="4" applyNumberFormat="1" applyFont="1" applyFill="1" applyBorder="1" applyAlignment="1">
      <alignment horizontal="left" vertical="top" indent="2" shrinkToFit="1"/>
    </xf>
    <xf numFmtId="1" fontId="16" fillId="0" borderId="27" xfId="4" applyNumberFormat="1" applyFont="1" applyFill="1" applyBorder="1" applyAlignment="1">
      <alignment horizontal="right" vertical="top" shrinkToFit="1"/>
    </xf>
    <xf numFmtId="1" fontId="16" fillId="0" borderId="29" xfId="4" applyNumberFormat="1" applyFont="1" applyFill="1" applyBorder="1" applyAlignment="1">
      <alignment horizontal="right" vertical="top" shrinkToFit="1"/>
    </xf>
    <xf numFmtId="185" fontId="16" fillId="0" borderId="25" xfId="4" applyNumberFormat="1" applyFont="1" applyFill="1" applyBorder="1" applyAlignment="1">
      <alignment horizontal="left" vertical="top" indent="1" shrinkToFit="1"/>
    </xf>
    <xf numFmtId="185" fontId="16" fillId="0" borderId="26" xfId="4" applyNumberFormat="1" applyFont="1" applyFill="1" applyBorder="1" applyAlignment="1">
      <alignment horizontal="left" vertical="top" indent="1" shrinkToFit="1"/>
    </xf>
    <xf numFmtId="185" fontId="16" fillId="0" borderId="37" xfId="4" applyNumberFormat="1" applyFont="1" applyFill="1" applyBorder="1" applyAlignment="1">
      <alignment horizontal="left" vertical="top" indent="1" shrinkToFit="1"/>
    </xf>
    <xf numFmtId="185" fontId="16" fillId="0" borderId="34" xfId="4" applyNumberFormat="1" applyFont="1" applyFill="1" applyBorder="1" applyAlignment="1">
      <alignment horizontal="left" vertical="top" indent="1" shrinkToFit="1"/>
    </xf>
    <xf numFmtId="185" fontId="16" fillId="0" borderId="31" xfId="4" applyNumberFormat="1" applyFont="1" applyFill="1" applyBorder="1" applyAlignment="1">
      <alignment horizontal="left" vertical="top" indent="1" shrinkToFit="1"/>
    </xf>
    <xf numFmtId="185" fontId="16" fillId="0" borderId="32" xfId="4" applyNumberFormat="1" applyFont="1" applyFill="1" applyBorder="1" applyAlignment="1">
      <alignment horizontal="left" vertical="top" indent="1" shrinkToFit="1"/>
    </xf>
    <xf numFmtId="185" fontId="16" fillId="0" borderId="27" xfId="4" applyNumberFormat="1" applyFont="1" applyFill="1" applyBorder="1" applyAlignment="1">
      <alignment horizontal="right" vertical="top" indent="1" shrinkToFit="1"/>
    </xf>
    <xf numFmtId="185" fontId="16" fillId="0" borderId="28" xfId="4" applyNumberFormat="1" applyFont="1" applyFill="1" applyBorder="1" applyAlignment="1">
      <alignment horizontal="right" vertical="top" indent="1" shrinkToFit="1"/>
    </xf>
    <xf numFmtId="185" fontId="16" fillId="0" borderId="29" xfId="4" applyNumberFormat="1" applyFont="1" applyFill="1" applyBorder="1" applyAlignment="1">
      <alignment horizontal="right" vertical="top" indent="1" shrinkToFit="1"/>
    </xf>
    <xf numFmtId="0" fontId="16" fillId="0" borderId="27" xfId="4" applyFont="1" applyFill="1" applyBorder="1" applyAlignment="1">
      <alignment horizontal="left" vertical="top" wrapText="1"/>
    </xf>
    <xf numFmtId="0" fontId="16" fillId="0" borderId="29" xfId="4" applyFont="1" applyFill="1" applyBorder="1" applyAlignment="1">
      <alignment horizontal="left" vertical="top" wrapText="1"/>
    </xf>
    <xf numFmtId="0" fontId="16" fillId="0" borderId="27" xfId="4" applyFont="1" applyFill="1" applyBorder="1" applyAlignment="1">
      <alignment horizontal="left" vertical="top" wrapText="1" indent="1"/>
    </xf>
    <xf numFmtId="0" fontId="16" fillId="0" borderId="29" xfId="4" applyFont="1" applyFill="1" applyBorder="1" applyAlignment="1">
      <alignment horizontal="left" vertical="top" wrapText="1" indent="1"/>
    </xf>
    <xf numFmtId="0" fontId="16" fillId="0" borderId="28" xfId="4" applyFont="1" applyFill="1" applyBorder="1" applyAlignment="1">
      <alignment horizontal="left" vertical="top" wrapText="1" indent="1"/>
    </xf>
    <xf numFmtId="0" fontId="16" fillId="0" borderId="0" xfId="4" applyFont="1" applyFill="1" applyBorder="1" applyAlignment="1">
      <alignment horizontal="center" vertical="top" wrapText="1"/>
    </xf>
    <xf numFmtId="0" fontId="16" fillId="0" borderId="25" xfId="4" applyFont="1" applyFill="1" applyBorder="1" applyAlignment="1">
      <alignment horizontal="center" vertical="top" wrapText="1"/>
    </xf>
    <xf numFmtId="0" fontId="16" fillId="0" borderId="26" xfId="4" applyFont="1" applyFill="1" applyBorder="1" applyAlignment="1">
      <alignment horizontal="center" vertical="top" wrapText="1"/>
    </xf>
    <xf numFmtId="0" fontId="16" fillId="0" borderId="31" xfId="4" applyFont="1" applyFill="1" applyBorder="1" applyAlignment="1">
      <alignment horizontal="center" vertical="top" wrapText="1"/>
    </xf>
    <xf numFmtId="0" fontId="16" fillId="0" borderId="32" xfId="4" applyFont="1" applyFill="1" applyBorder="1" applyAlignment="1">
      <alignment horizontal="center" vertical="top" wrapText="1"/>
    </xf>
    <xf numFmtId="0" fontId="14" fillId="0" borderId="25" xfId="4" applyFont="1" applyFill="1" applyBorder="1" applyAlignment="1">
      <alignment horizontal="left" vertical="top" wrapText="1"/>
    </xf>
    <xf numFmtId="0" fontId="14" fillId="0" borderId="26" xfId="4" applyFont="1" applyFill="1" applyBorder="1" applyAlignment="1">
      <alignment horizontal="left" vertical="top" wrapText="1"/>
    </xf>
    <xf numFmtId="0" fontId="14" fillId="0" borderId="31" xfId="4" applyFont="1" applyFill="1" applyBorder="1" applyAlignment="1">
      <alignment horizontal="left" vertical="top" wrapText="1"/>
    </xf>
    <xf numFmtId="0" fontId="14" fillId="0" borderId="32" xfId="4" applyFont="1" applyFill="1" applyBorder="1" applyAlignment="1">
      <alignment horizontal="left" vertical="top" wrapText="1"/>
    </xf>
    <xf numFmtId="0" fontId="14" fillId="0" borderId="27" xfId="4" applyFont="1" applyFill="1" applyBorder="1" applyAlignment="1">
      <alignment horizontal="left" vertical="top" wrapText="1" indent="2"/>
    </xf>
    <xf numFmtId="0" fontId="14" fillId="0" borderId="28" xfId="4" applyFont="1" applyFill="1" applyBorder="1" applyAlignment="1">
      <alignment horizontal="left" vertical="top" wrapText="1" indent="2"/>
    </xf>
    <xf numFmtId="0" fontId="14" fillId="0" borderId="29" xfId="4" applyFont="1" applyFill="1" applyBorder="1" applyAlignment="1">
      <alignment horizontal="left" vertical="top" wrapText="1" indent="2"/>
    </xf>
    <xf numFmtId="0" fontId="14" fillId="0" borderId="25" xfId="4" applyFont="1" applyFill="1" applyBorder="1" applyAlignment="1">
      <alignment horizontal="center" vertical="top" wrapText="1"/>
    </xf>
    <xf numFmtId="0" fontId="14" fillId="0" borderId="35" xfId="4" applyFont="1" applyFill="1" applyBorder="1" applyAlignment="1">
      <alignment horizontal="center" vertical="top" wrapText="1"/>
    </xf>
    <xf numFmtId="0" fontId="14" fillId="0" borderId="26" xfId="4" applyFont="1" applyFill="1" applyBorder="1" applyAlignment="1">
      <alignment horizontal="center" vertical="top" wrapText="1"/>
    </xf>
    <xf numFmtId="0" fontId="14" fillId="0" borderId="31" xfId="4" applyFont="1" applyFill="1" applyBorder="1" applyAlignment="1">
      <alignment horizontal="center" vertical="top" wrapText="1"/>
    </xf>
    <xf numFmtId="0" fontId="14" fillId="0" borderId="36" xfId="4" applyFont="1" applyFill="1" applyBorder="1" applyAlignment="1">
      <alignment horizontal="center" vertical="top" wrapText="1"/>
    </xf>
    <xf numFmtId="0" fontId="14" fillId="0" borderId="32" xfId="4" applyFont="1" applyFill="1" applyBorder="1" applyAlignment="1">
      <alignment horizontal="center" vertical="top" wrapText="1"/>
    </xf>
    <xf numFmtId="0" fontId="14" fillId="0" borderId="27" xfId="4" applyFont="1" applyFill="1" applyBorder="1" applyAlignment="1">
      <alignment horizontal="left" vertical="top" wrapText="1" indent="3"/>
    </xf>
    <xf numFmtId="0" fontId="14" fillId="0" borderId="28" xfId="4" applyFont="1" applyFill="1" applyBorder="1" applyAlignment="1">
      <alignment horizontal="left" vertical="top" wrapText="1" indent="3"/>
    </xf>
    <xf numFmtId="0" fontId="14" fillId="0" borderId="29" xfId="4" applyFont="1" applyFill="1" applyBorder="1" applyAlignment="1">
      <alignment horizontal="left" vertical="top" wrapText="1" indent="3"/>
    </xf>
    <xf numFmtId="0" fontId="14" fillId="0" borderId="27" xfId="4" applyFont="1" applyFill="1" applyBorder="1" applyAlignment="1">
      <alignment horizontal="left" vertical="top" wrapText="1" indent="1"/>
    </xf>
    <xf numFmtId="0" fontId="14" fillId="0" borderId="28" xfId="4" applyFont="1" applyFill="1" applyBorder="1" applyAlignment="1">
      <alignment horizontal="left" vertical="top" wrapText="1" indent="1"/>
    </xf>
    <xf numFmtId="0" fontId="14" fillId="0" borderId="29" xfId="4" applyFont="1" applyFill="1" applyBorder="1" applyAlignment="1">
      <alignment horizontal="left" vertical="top" wrapText="1" indent="1"/>
    </xf>
    <xf numFmtId="0" fontId="14" fillId="0" borderId="0" xfId="4" applyFont="1" applyFill="1" applyBorder="1" applyAlignment="1">
      <alignment horizontal="left" vertical="top" wrapText="1"/>
    </xf>
    <xf numFmtId="0" fontId="14" fillId="0" borderId="0" xfId="0" applyFont="1" applyAlignment="1">
      <alignment horizontal="left"/>
    </xf>
    <xf numFmtId="0" fontId="14" fillId="0" borderId="0" xfId="0" applyFont="1" applyAlignment="1"/>
    <xf numFmtId="0" fontId="14" fillId="0" borderId="0" xfId="0" applyFont="1" applyAlignment="1">
      <alignment horizontal="left" shrinkToFit="1"/>
    </xf>
    <xf numFmtId="0" fontId="14" fillId="0" borderId="0" xfId="0" applyFont="1" applyAlignment="1">
      <alignment shrinkToFit="1"/>
    </xf>
    <xf numFmtId="0" fontId="4" fillId="0" borderId="0" xfId="0" applyFont="1" applyAlignment="1">
      <alignment horizontal="left" shrinkToFit="1"/>
    </xf>
    <xf numFmtId="0" fontId="0" fillId="0" borderId="0" xfId="0" applyAlignment="1">
      <alignment shrinkToFit="1"/>
    </xf>
    <xf numFmtId="0" fontId="4" fillId="0" borderId="0" xfId="0" applyFont="1" applyAlignment="1"/>
    <xf numFmtId="0" fontId="4" fillId="0" borderId="0" xfId="0" applyFont="1" applyAlignment="1">
      <alignment horizontal="left"/>
    </xf>
    <xf numFmtId="0" fontId="0" fillId="0" borderId="0" xfId="0" applyAlignment="1"/>
    <xf numFmtId="0" fontId="21" fillId="0" borderId="0" xfId="0" applyFont="1" applyAlignment="1">
      <alignment horizontal="left"/>
    </xf>
    <xf numFmtId="0" fontId="21" fillId="0" borderId="0" xfId="0" applyFont="1" applyAlignment="1"/>
    <xf numFmtId="0" fontId="4" fillId="0" borderId="2" xfId="0" applyFont="1" applyBorder="1" applyAlignment="1">
      <alignment horizontal="center"/>
    </xf>
    <xf numFmtId="0" fontId="4" fillId="0" borderId="0" xfId="0" applyFont="1" applyBorder="1" applyAlignment="1"/>
    <xf numFmtId="0" fontId="4" fillId="0" borderId="3" xfId="0" applyFont="1" applyBorder="1" applyAlignment="1"/>
    <xf numFmtId="5" fontId="4" fillId="0" borderId="4" xfId="0" applyNumberFormat="1" applyFont="1" applyBorder="1" applyAlignment="1">
      <alignment horizontal="center"/>
    </xf>
    <xf numFmtId="5" fontId="4" fillId="0" borderId="5" xfId="0" applyNumberFormat="1" applyFont="1" applyBorder="1" applyAlignment="1">
      <alignment horizontal="center"/>
    </xf>
    <xf numFmtId="5" fontId="4" fillId="0" borderId="6" xfId="0" applyNumberFormat="1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3" xfId="0" applyFont="1" applyBorder="1" applyAlignment="1"/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3" xfId="0" applyFont="1" applyBorder="1" applyAlignment="1"/>
    <xf numFmtId="0" fontId="4" fillId="0" borderId="14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38" fontId="21" fillId="0" borderId="0" xfId="1" applyFont="1" applyAlignment="1">
      <alignment horizontal="right"/>
    </xf>
    <xf numFmtId="38" fontId="21" fillId="0" borderId="0" xfId="1" applyFont="1" applyAlignment="1">
      <alignment horizontal="center"/>
    </xf>
    <xf numFmtId="0" fontId="21" fillId="0" borderId="0" xfId="0" applyNumberFormat="1" applyFont="1" applyAlignment="1">
      <alignment horizontal="center"/>
    </xf>
    <xf numFmtId="38" fontId="22" fillId="0" borderId="0" xfId="1" applyFont="1" applyAlignment="1">
      <alignment horizontal="center"/>
    </xf>
    <xf numFmtId="1" fontId="21" fillId="0" borderId="0" xfId="1" applyNumberFormat="1" applyFont="1" applyAlignment="1">
      <alignment horizontal="center"/>
    </xf>
    <xf numFmtId="0" fontId="16" fillId="0" borderId="0" xfId="1" applyNumberFormat="1" applyFont="1" applyFill="1" applyBorder="1" applyAlignment="1">
      <alignment horizontal="left" vertical="top"/>
    </xf>
    <xf numFmtId="1" fontId="21" fillId="0" borderId="0" xfId="0" applyNumberFormat="1" applyFont="1" applyBorder="1" applyAlignment="1">
      <alignment horizontal="center"/>
    </xf>
  </cellXfs>
  <cellStyles count="5">
    <cellStyle name="桁区切り" xfId="1" builtinId="6"/>
    <cellStyle name="標準" xfId="0" builtinId="0"/>
    <cellStyle name="標準 2" xfId="2" xr:uid="{33FBF528-52AD-4035-818B-A5FA5CE4EF88}"/>
    <cellStyle name="標準 3" xfId="4" xr:uid="{14F23B7B-CAAA-48D0-87A2-842EE35FB135}"/>
    <cellStyle name="標準_基礎支持力qa" xfId="3" xr:uid="{9AD06B75-A918-4BD6-A954-8BCB8A398C2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3</xdr:row>
      <xdr:rowOff>0</xdr:rowOff>
    </xdr:from>
    <xdr:to>
      <xdr:col>4</xdr:col>
      <xdr:colOff>101600</xdr:colOff>
      <xdr:row>4</xdr:row>
      <xdr:rowOff>0</xdr:rowOff>
    </xdr:to>
    <xdr:cxnSp macro="">
      <xdr:nvCxnSpPr>
        <xdr:cNvPr id="26" name="line01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/>
      </xdr:nvCxnSpPr>
      <xdr:spPr>
        <a:xfrm>
          <a:off x="1714500" y="600075"/>
          <a:ext cx="254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4</xdr:row>
      <xdr:rowOff>0</xdr:rowOff>
    </xdr:from>
    <xdr:to>
      <xdr:col>4</xdr:col>
      <xdr:colOff>101600</xdr:colOff>
      <xdr:row>5</xdr:row>
      <xdr:rowOff>0</xdr:rowOff>
    </xdr:to>
    <xdr:cxnSp macro="">
      <xdr:nvCxnSpPr>
        <xdr:cNvPr id="27" name="line01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CxnSpPr/>
      </xdr:nvCxnSpPr>
      <xdr:spPr>
        <a:xfrm flipH="1">
          <a:off x="1676400" y="800100"/>
          <a:ext cx="635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5</xdr:row>
      <xdr:rowOff>0</xdr:rowOff>
    </xdr:from>
    <xdr:to>
      <xdr:col>4</xdr:col>
      <xdr:colOff>50800</xdr:colOff>
      <xdr:row>6</xdr:row>
      <xdr:rowOff>0</xdr:rowOff>
    </xdr:to>
    <xdr:cxnSp macro="">
      <xdr:nvCxnSpPr>
        <xdr:cNvPr id="28" name="line01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CxnSpPr/>
      </xdr:nvCxnSpPr>
      <xdr:spPr>
        <a:xfrm>
          <a:off x="1676400" y="1000125"/>
          <a:ext cx="127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50800</xdr:colOff>
      <xdr:row>6</xdr:row>
      <xdr:rowOff>0</xdr:rowOff>
    </xdr:from>
    <xdr:to>
      <xdr:col>4</xdr:col>
      <xdr:colOff>50800</xdr:colOff>
      <xdr:row>7</xdr:row>
      <xdr:rowOff>0</xdr:rowOff>
    </xdr:to>
    <xdr:cxnSp macro="">
      <xdr:nvCxnSpPr>
        <xdr:cNvPr id="29" name="line01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CxnSpPr/>
      </xdr:nvCxnSpPr>
      <xdr:spPr>
        <a:xfrm>
          <a:off x="1689100" y="1200150"/>
          <a:ext cx="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50800</xdr:colOff>
      <xdr:row>7</xdr:row>
      <xdr:rowOff>0</xdr:rowOff>
    </xdr:from>
    <xdr:to>
      <xdr:col>4</xdr:col>
      <xdr:colOff>63500</xdr:colOff>
      <xdr:row>8</xdr:row>
      <xdr:rowOff>0</xdr:rowOff>
    </xdr:to>
    <xdr:cxnSp macro="">
      <xdr:nvCxnSpPr>
        <xdr:cNvPr id="30" name="line01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CxnSpPr/>
      </xdr:nvCxnSpPr>
      <xdr:spPr>
        <a:xfrm>
          <a:off x="1689100" y="1400175"/>
          <a:ext cx="127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63500</xdr:colOff>
      <xdr:row>8</xdr:row>
      <xdr:rowOff>0</xdr:rowOff>
    </xdr:from>
    <xdr:to>
      <xdr:col>4</xdr:col>
      <xdr:colOff>88900</xdr:colOff>
      <xdr:row>9</xdr:row>
      <xdr:rowOff>0</xdr:rowOff>
    </xdr:to>
    <xdr:cxnSp macro="">
      <xdr:nvCxnSpPr>
        <xdr:cNvPr id="31" name="line01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/>
      </xdr:nvCxnSpPr>
      <xdr:spPr>
        <a:xfrm>
          <a:off x="1701800" y="1600200"/>
          <a:ext cx="254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88900</xdr:colOff>
      <xdr:row>9</xdr:row>
      <xdr:rowOff>0</xdr:rowOff>
    </xdr:from>
    <xdr:to>
      <xdr:col>4</xdr:col>
      <xdr:colOff>279400</xdr:colOff>
      <xdr:row>10</xdr:row>
      <xdr:rowOff>0</xdr:rowOff>
    </xdr:to>
    <xdr:cxnSp macro="">
      <xdr:nvCxnSpPr>
        <xdr:cNvPr id="1856" name="line01">
          <a:extLst>
            <a:ext uri="{FF2B5EF4-FFF2-40B4-BE49-F238E27FC236}">
              <a16:creationId xmlns:a16="http://schemas.microsoft.com/office/drawing/2014/main" id="{00000000-0008-0000-0200-000040070000}"/>
            </a:ext>
          </a:extLst>
        </xdr:cNvPr>
        <xdr:cNvCxnSpPr/>
      </xdr:nvCxnSpPr>
      <xdr:spPr>
        <a:xfrm>
          <a:off x="1727200" y="1800225"/>
          <a:ext cx="1905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254000</xdr:colOff>
      <xdr:row>10</xdr:row>
      <xdr:rowOff>0</xdr:rowOff>
    </xdr:from>
    <xdr:to>
      <xdr:col>4</xdr:col>
      <xdr:colOff>279400</xdr:colOff>
      <xdr:row>11</xdr:row>
      <xdr:rowOff>0</xdr:rowOff>
    </xdr:to>
    <xdr:cxnSp macro="">
      <xdr:nvCxnSpPr>
        <xdr:cNvPr id="1857" name="line01">
          <a:extLst>
            <a:ext uri="{FF2B5EF4-FFF2-40B4-BE49-F238E27FC236}">
              <a16:creationId xmlns:a16="http://schemas.microsoft.com/office/drawing/2014/main" id="{00000000-0008-0000-0200-000041070000}"/>
            </a:ext>
          </a:extLst>
        </xdr:cNvPr>
        <xdr:cNvCxnSpPr/>
      </xdr:nvCxnSpPr>
      <xdr:spPr>
        <a:xfrm flipH="1">
          <a:off x="1892300" y="2000250"/>
          <a:ext cx="254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254000</xdr:colOff>
      <xdr:row>11</xdr:row>
      <xdr:rowOff>0</xdr:rowOff>
    </xdr:from>
    <xdr:to>
      <xdr:col>4</xdr:col>
      <xdr:colOff>292100</xdr:colOff>
      <xdr:row>12</xdr:row>
      <xdr:rowOff>0</xdr:rowOff>
    </xdr:to>
    <xdr:cxnSp macro="">
      <xdr:nvCxnSpPr>
        <xdr:cNvPr id="1858" name="line01">
          <a:extLst>
            <a:ext uri="{FF2B5EF4-FFF2-40B4-BE49-F238E27FC236}">
              <a16:creationId xmlns:a16="http://schemas.microsoft.com/office/drawing/2014/main" id="{00000000-0008-0000-0200-000042070000}"/>
            </a:ext>
          </a:extLst>
        </xdr:cNvPr>
        <xdr:cNvCxnSpPr/>
      </xdr:nvCxnSpPr>
      <xdr:spPr>
        <a:xfrm>
          <a:off x="1892300" y="2200275"/>
          <a:ext cx="381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292100</xdr:colOff>
      <xdr:row>12</xdr:row>
      <xdr:rowOff>0</xdr:rowOff>
    </xdr:from>
    <xdr:to>
      <xdr:col>4</xdr:col>
      <xdr:colOff>317500</xdr:colOff>
      <xdr:row>13</xdr:row>
      <xdr:rowOff>0</xdr:rowOff>
    </xdr:to>
    <xdr:cxnSp macro="">
      <xdr:nvCxnSpPr>
        <xdr:cNvPr id="1859" name="line01">
          <a:extLst>
            <a:ext uri="{FF2B5EF4-FFF2-40B4-BE49-F238E27FC236}">
              <a16:creationId xmlns:a16="http://schemas.microsoft.com/office/drawing/2014/main" id="{00000000-0008-0000-0200-000043070000}"/>
            </a:ext>
          </a:extLst>
        </xdr:cNvPr>
        <xdr:cNvCxnSpPr/>
      </xdr:nvCxnSpPr>
      <xdr:spPr>
        <a:xfrm>
          <a:off x="1930400" y="2400300"/>
          <a:ext cx="254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317500</xdr:colOff>
      <xdr:row>13</xdr:row>
      <xdr:rowOff>0</xdr:rowOff>
    </xdr:from>
    <xdr:to>
      <xdr:col>4</xdr:col>
      <xdr:colOff>431800</xdr:colOff>
      <xdr:row>14</xdr:row>
      <xdr:rowOff>0</xdr:rowOff>
    </xdr:to>
    <xdr:cxnSp macro="">
      <xdr:nvCxnSpPr>
        <xdr:cNvPr id="1860" name="line01">
          <a:extLst>
            <a:ext uri="{FF2B5EF4-FFF2-40B4-BE49-F238E27FC236}">
              <a16:creationId xmlns:a16="http://schemas.microsoft.com/office/drawing/2014/main" id="{00000000-0008-0000-0200-000044070000}"/>
            </a:ext>
          </a:extLst>
        </xdr:cNvPr>
        <xdr:cNvCxnSpPr/>
      </xdr:nvCxnSpPr>
      <xdr:spPr>
        <a:xfrm>
          <a:off x="1955800" y="2600325"/>
          <a:ext cx="1143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431800</xdr:colOff>
      <xdr:row>14</xdr:row>
      <xdr:rowOff>0</xdr:rowOff>
    </xdr:from>
    <xdr:to>
      <xdr:col>4</xdr:col>
      <xdr:colOff>482600</xdr:colOff>
      <xdr:row>15</xdr:row>
      <xdr:rowOff>0</xdr:rowOff>
    </xdr:to>
    <xdr:cxnSp macro="">
      <xdr:nvCxnSpPr>
        <xdr:cNvPr id="1861" name="line01">
          <a:extLst>
            <a:ext uri="{FF2B5EF4-FFF2-40B4-BE49-F238E27FC236}">
              <a16:creationId xmlns:a16="http://schemas.microsoft.com/office/drawing/2014/main" id="{00000000-0008-0000-0200-000045070000}"/>
            </a:ext>
          </a:extLst>
        </xdr:cNvPr>
        <xdr:cNvCxnSpPr/>
      </xdr:nvCxnSpPr>
      <xdr:spPr>
        <a:xfrm>
          <a:off x="2070100" y="2800350"/>
          <a:ext cx="508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355600</xdr:colOff>
      <xdr:row>15</xdr:row>
      <xdr:rowOff>0</xdr:rowOff>
    </xdr:from>
    <xdr:to>
      <xdr:col>4</xdr:col>
      <xdr:colOff>482600</xdr:colOff>
      <xdr:row>16</xdr:row>
      <xdr:rowOff>0</xdr:rowOff>
    </xdr:to>
    <xdr:cxnSp macro="">
      <xdr:nvCxnSpPr>
        <xdr:cNvPr id="1862" name="line01">
          <a:extLst>
            <a:ext uri="{FF2B5EF4-FFF2-40B4-BE49-F238E27FC236}">
              <a16:creationId xmlns:a16="http://schemas.microsoft.com/office/drawing/2014/main" id="{00000000-0008-0000-0200-000046070000}"/>
            </a:ext>
          </a:extLst>
        </xdr:cNvPr>
        <xdr:cNvCxnSpPr/>
      </xdr:nvCxnSpPr>
      <xdr:spPr>
        <a:xfrm flipH="1">
          <a:off x="1993900" y="3000375"/>
          <a:ext cx="1270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355600</xdr:colOff>
      <xdr:row>16</xdr:row>
      <xdr:rowOff>0</xdr:rowOff>
    </xdr:from>
    <xdr:to>
      <xdr:col>4</xdr:col>
      <xdr:colOff>533400</xdr:colOff>
      <xdr:row>17</xdr:row>
      <xdr:rowOff>0</xdr:rowOff>
    </xdr:to>
    <xdr:cxnSp macro="">
      <xdr:nvCxnSpPr>
        <xdr:cNvPr id="1863" name="line01">
          <a:extLst>
            <a:ext uri="{FF2B5EF4-FFF2-40B4-BE49-F238E27FC236}">
              <a16:creationId xmlns:a16="http://schemas.microsoft.com/office/drawing/2014/main" id="{00000000-0008-0000-0200-000047070000}"/>
            </a:ext>
          </a:extLst>
        </xdr:cNvPr>
        <xdr:cNvCxnSpPr/>
      </xdr:nvCxnSpPr>
      <xdr:spPr>
        <a:xfrm>
          <a:off x="1993900" y="3200400"/>
          <a:ext cx="1778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533400</xdr:colOff>
      <xdr:row>17</xdr:row>
      <xdr:rowOff>0</xdr:rowOff>
    </xdr:from>
    <xdr:to>
      <xdr:col>5</xdr:col>
      <xdr:colOff>114300</xdr:colOff>
      <xdr:row>18</xdr:row>
      <xdr:rowOff>0</xdr:rowOff>
    </xdr:to>
    <xdr:cxnSp macro="">
      <xdr:nvCxnSpPr>
        <xdr:cNvPr id="1864" name="line01">
          <a:extLst>
            <a:ext uri="{FF2B5EF4-FFF2-40B4-BE49-F238E27FC236}">
              <a16:creationId xmlns:a16="http://schemas.microsoft.com/office/drawing/2014/main" id="{00000000-0008-0000-0200-000048070000}"/>
            </a:ext>
          </a:extLst>
        </xdr:cNvPr>
        <xdr:cNvCxnSpPr/>
      </xdr:nvCxnSpPr>
      <xdr:spPr>
        <a:xfrm>
          <a:off x="2171700" y="3400425"/>
          <a:ext cx="2667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18</xdr:row>
      <xdr:rowOff>0</xdr:rowOff>
    </xdr:from>
    <xdr:to>
      <xdr:col>5</xdr:col>
      <xdr:colOff>215900</xdr:colOff>
      <xdr:row>19</xdr:row>
      <xdr:rowOff>0</xdr:rowOff>
    </xdr:to>
    <xdr:cxnSp macro="">
      <xdr:nvCxnSpPr>
        <xdr:cNvPr id="1865" name="line01">
          <a:extLst>
            <a:ext uri="{FF2B5EF4-FFF2-40B4-BE49-F238E27FC236}">
              <a16:creationId xmlns:a16="http://schemas.microsoft.com/office/drawing/2014/main" id="{00000000-0008-0000-0200-000049070000}"/>
            </a:ext>
          </a:extLst>
        </xdr:cNvPr>
        <xdr:cNvCxnSpPr/>
      </xdr:nvCxnSpPr>
      <xdr:spPr>
        <a:xfrm>
          <a:off x="2438400" y="3600450"/>
          <a:ext cx="1016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215900</xdr:colOff>
      <xdr:row>19</xdr:row>
      <xdr:rowOff>0</xdr:rowOff>
    </xdr:from>
    <xdr:to>
      <xdr:col>5</xdr:col>
      <xdr:colOff>266700</xdr:colOff>
      <xdr:row>20</xdr:row>
      <xdr:rowOff>0</xdr:rowOff>
    </xdr:to>
    <xdr:cxnSp macro="">
      <xdr:nvCxnSpPr>
        <xdr:cNvPr id="1866" name="line01">
          <a:extLst>
            <a:ext uri="{FF2B5EF4-FFF2-40B4-BE49-F238E27FC236}">
              <a16:creationId xmlns:a16="http://schemas.microsoft.com/office/drawing/2014/main" id="{00000000-0008-0000-0200-00004A070000}"/>
            </a:ext>
          </a:extLst>
        </xdr:cNvPr>
        <xdr:cNvCxnSpPr/>
      </xdr:nvCxnSpPr>
      <xdr:spPr>
        <a:xfrm>
          <a:off x="2540000" y="3800475"/>
          <a:ext cx="508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266700</xdr:colOff>
      <xdr:row>20</xdr:row>
      <xdr:rowOff>0</xdr:rowOff>
    </xdr:from>
    <xdr:to>
      <xdr:col>5</xdr:col>
      <xdr:colOff>431800</xdr:colOff>
      <xdr:row>21</xdr:row>
      <xdr:rowOff>0</xdr:rowOff>
    </xdr:to>
    <xdr:cxnSp macro="">
      <xdr:nvCxnSpPr>
        <xdr:cNvPr id="1867" name="line01">
          <a:extLst>
            <a:ext uri="{FF2B5EF4-FFF2-40B4-BE49-F238E27FC236}">
              <a16:creationId xmlns:a16="http://schemas.microsoft.com/office/drawing/2014/main" id="{00000000-0008-0000-0200-00004B070000}"/>
            </a:ext>
          </a:extLst>
        </xdr:cNvPr>
        <xdr:cNvCxnSpPr/>
      </xdr:nvCxnSpPr>
      <xdr:spPr>
        <a:xfrm>
          <a:off x="2590800" y="4000500"/>
          <a:ext cx="1651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431800</xdr:colOff>
      <xdr:row>21</xdr:row>
      <xdr:rowOff>0</xdr:rowOff>
    </xdr:from>
    <xdr:to>
      <xdr:col>5</xdr:col>
      <xdr:colOff>673100</xdr:colOff>
      <xdr:row>22</xdr:row>
      <xdr:rowOff>0</xdr:rowOff>
    </xdr:to>
    <xdr:cxnSp macro="">
      <xdr:nvCxnSpPr>
        <xdr:cNvPr id="1868" name="line01">
          <a:extLst>
            <a:ext uri="{FF2B5EF4-FFF2-40B4-BE49-F238E27FC236}">
              <a16:creationId xmlns:a16="http://schemas.microsoft.com/office/drawing/2014/main" id="{00000000-0008-0000-0200-00004C070000}"/>
            </a:ext>
          </a:extLst>
        </xdr:cNvPr>
        <xdr:cNvCxnSpPr/>
      </xdr:nvCxnSpPr>
      <xdr:spPr>
        <a:xfrm>
          <a:off x="2755900" y="4200525"/>
          <a:ext cx="2413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</xdr:row>
      <xdr:rowOff>140017</xdr:rowOff>
    </xdr:from>
    <xdr:to>
      <xdr:col>5</xdr:col>
      <xdr:colOff>0</xdr:colOff>
      <xdr:row>1</xdr:row>
      <xdr:rowOff>140017</xdr:rowOff>
    </xdr:to>
    <xdr:cxnSp macro="">
      <xdr:nvCxnSpPr>
        <xdr:cNvPr id="1869" name="line01">
          <a:extLst>
            <a:ext uri="{FF2B5EF4-FFF2-40B4-BE49-F238E27FC236}">
              <a16:creationId xmlns:a16="http://schemas.microsoft.com/office/drawing/2014/main" id="{00000000-0008-0000-0200-00004D070000}"/>
            </a:ext>
          </a:extLst>
        </xdr:cNvPr>
        <xdr:cNvCxnSpPr/>
      </xdr:nvCxnSpPr>
      <xdr:spPr>
        <a:xfrm>
          <a:off x="1209675" y="340042"/>
          <a:ext cx="111442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2</xdr:row>
      <xdr:rowOff>140018</xdr:rowOff>
    </xdr:from>
    <xdr:to>
      <xdr:col>4</xdr:col>
      <xdr:colOff>342900</xdr:colOff>
      <xdr:row>17</xdr:row>
      <xdr:rowOff>140017</xdr:rowOff>
    </xdr:to>
    <xdr:cxnSp macro="">
      <xdr:nvCxnSpPr>
        <xdr:cNvPr id="1870" name="line01">
          <a:extLst>
            <a:ext uri="{FF2B5EF4-FFF2-40B4-BE49-F238E27FC236}">
              <a16:creationId xmlns:a16="http://schemas.microsoft.com/office/drawing/2014/main" id="{00000000-0008-0000-0200-00004E070000}"/>
            </a:ext>
          </a:extLst>
        </xdr:cNvPr>
        <xdr:cNvCxnSpPr/>
      </xdr:nvCxnSpPr>
      <xdr:spPr>
        <a:xfrm>
          <a:off x="1981200" y="540068"/>
          <a:ext cx="0" cy="3000374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462915</xdr:colOff>
      <xdr:row>2</xdr:row>
      <xdr:rowOff>140018</xdr:rowOff>
    </xdr:from>
    <xdr:to>
      <xdr:col>4</xdr:col>
      <xdr:colOff>462915</xdr:colOff>
      <xdr:row>17</xdr:row>
      <xdr:rowOff>140017</xdr:rowOff>
    </xdr:to>
    <xdr:cxnSp macro="">
      <xdr:nvCxnSpPr>
        <xdr:cNvPr id="1871" name="line01">
          <a:extLst>
            <a:ext uri="{FF2B5EF4-FFF2-40B4-BE49-F238E27FC236}">
              <a16:creationId xmlns:a16="http://schemas.microsoft.com/office/drawing/2014/main" id="{00000000-0008-0000-0200-00004F070000}"/>
            </a:ext>
          </a:extLst>
        </xdr:cNvPr>
        <xdr:cNvCxnSpPr/>
      </xdr:nvCxnSpPr>
      <xdr:spPr>
        <a:xfrm>
          <a:off x="2101215" y="540068"/>
          <a:ext cx="0" cy="3000374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2</xdr:row>
      <xdr:rowOff>140018</xdr:rowOff>
    </xdr:from>
    <xdr:to>
      <xdr:col>4</xdr:col>
      <xdr:colOff>462915</xdr:colOff>
      <xdr:row>2</xdr:row>
      <xdr:rowOff>140018</xdr:rowOff>
    </xdr:to>
    <xdr:cxnSp macro="">
      <xdr:nvCxnSpPr>
        <xdr:cNvPr id="1872" name="line01">
          <a:extLst>
            <a:ext uri="{FF2B5EF4-FFF2-40B4-BE49-F238E27FC236}">
              <a16:creationId xmlns:a16="http://schemas.microsoft.com/office/drawing/2014/main" id="{00000000-0008-0000-0200-000050070000}"/>
            </a:ext>
          </a:extLst>
        </xdr:cNvPr>
        <xdr:cNvCxnSpPr/>
      </xdr:nvCxnSpPr>
      <xdr:spPr>
        <a:xfrm>
          <a:off x="1981200" y="540068"/>
          <a:ext cx="12001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17</xdr:row>
      <xdr:rowOff>140017</xdr:rowOff>
    </xdr:from>
    <xdr:to>
      <xdr:col>4</xdr:col>
      <xdr:colOff>462915</xdr:colOff>
      <xdr:row>17</xdr:row>
      <xdr:rowOff>140017</xdr:rowOff>
    </xdr:to>
    <xdr:cxnSp macro="">
      <xdr:nvCxnSpPr>
        <xdr:cNvPr id="1873" name="line01">
          <a:extLst>
            <a:ext uri="{FF2B5EF4-FFF2-40B4-BE49-F238E27FC236}">
              <a16:creationId xmlns:a16="http://schemas.microsoft.com/office/drawing/2014/main" id="{00000000-0008-0000-0200-000051070000}"/>
            </a:ext>
          </a:extLst>
        </xdr:cNvPr>
        <xdr:cNvCxnSpPr/>
      </xdr:nvCxnSpPr>
      <xdr:spPr>
        <a:xfrm>
          <a:off x="1981200" y="3540442"/>
          <a:ext cx="12001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6</xdr:row>
          <xdr:rowOff>38100</xdr:rowOff>
        </xdr:from>
        <xdr:to>
          <xdr:col>12</xdr:col>
          <xdr:colOff>449580</xdr:colOff>
          <xdr:row>30</xdr:row>
          <xdr:rowOff>87630</xdr:rowOff>
        </xdr:to>
        <xdr:sp macro="" textlink="">
          <xdr:nvSpPr>
            <xdr:cNvPr id="1030" name="Object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B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220980</xdr:colOff>
          <xdr:row>39</xdr:row>
          <xdr:rowOff>114300</xdr:rowOff>
        </xdr:from>
        <xdr:to>
          <xdr:col>12</xdr:col>
          <xdr:colOff>525780</xdr:colOff>
          <xdr:row>64</xdr:row>
          <xdr:rowOff>144780</xdr:rowOff>
        </xdr:to>
        <xdr:sp macro="" textlink="">
          <xdr:nvSpPr>
            <xdr:cNvPr id="1031" name="Object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B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74</xdr:row>
          <xdr:rowOff>114300</xdr:rowOff>
        </xdr:from>
        <xdr:to>
          <xdr:col>12</xdr:col>
          <xdr:colOff>487680</xdr:colOff>
          <xdr:row>99</xdr:row>
          <xdr:rowOff>95250</xdr:rowOff>
        </xdr:to>
        <xdr:sp macro="" textlink="">
          <xdr:nvSpPr>
            <xdr:cNvPr id="1032" name="Object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B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AppData/Roaming/Microsoft/AddIns/xfunxf.xl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AppData/Roaming/Microsoft/AddIns/xfunx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Pile"/>
      <sheetName val="Data"/>
      <sheetName val="xfunxf"/>
    </sheetNames>
    <definedNames>
      <definedName name="Pile"/>
      <definedName name="PilePcFx"/>
      <definedName name="PilePcMa"/>
      <definedName name="PilePcQa"/>
    </definedNames>
    <sheetDataSet>
      <sheetData sheetId="0"/>
      <sheetData sheetId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Bar"/>
      <sheetName val="Deck"/>
      <sheetName val="Xfunx"/>
      <sheetName val="Steel"/>
      <sheetName val="Data"/>
    </sheetNames>
    <definedNames>
      <definedName name="bar"/>
      <definedName name="BarFt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1992C-FEE7-4EC0-AE3A-DDDCAE019D31}">
  <sheetPr codeName="Sheet14"/>
  <dimension ref="A1:X29"/>
  <sheetViews>
    <sheetView workbookViewId="0">
      <selection activeCell="F15" sqref="F15"/>
    </sheetView>
  </sheetViews>
  <sheetFormatPr defaultColWidth="9" defaultRowHeight="12.9" x14ac:dyDescent="0.3"/>
  <cols>
    <col min="1" max="4" width="6.62890625" style="188" customWidth="1"/>
    <col min="5" max="5" width="16.1015625" style="188" customWidth="1"/>
    <col min="6" max="9" width="6.62890625" style="188" customWidth="1"/>
    <col min="10" max="10" width="8.62890625" style="188" customWidth="1"/>
    <col min="11" max="11" width="7.26171875" style="188" customWidth="1"/>
    <col min="12" max="12" width="10" style="188" bestFit="1" customWidth="1"/>
    <col min="13" max="13" width="15.3671875" style="188" customWidth="1"/>
    <col min="14" max="14" width="9" style="188"/>
    <col min="15" max="15" width="7.26171875" style="188" customWidth="1"/>
    <col min="16" max="16" width="12.3671875" style="188" customWidth="1"/>
    <col min="17" max="17" width="9.89453125" style="188" customWidth="1"/>
    <col min="18" max="16384" width="9" style="188"/>
  </cols>
  <sheetData>
    <row r="1" spans="1:24" x14ac:dyDescent="0.3">
      <c r="B1" s="188">
        <v>21</v>
      </c>
      <c r="O1" s="188">
        <v>26</v>
      </c>
    </row>
    <row r="2" spans="1:24" x14ac:dyDescent="0.3">
      <c r="A2" s="188">
        <v>1</v>
      </c>
      <c r="B2" s="188">
        <v>2</v>
      </c>
      <c r="C2" s="188">
        <v>3</v>
      </c>
      <c r="D2" s="188">
        <v>4</v>
      </c>
      <c r="E2" s="188">
        <v>5</v>
      </c>
      <c r="F2" s="188">
        <v>6</v>
      </c>
      <c r="G2" s="188">
        <v>7</v>
      </c>
      <c r="H2" s="188">
        <v>8</v>
      </c>
      <c r="I2" s="188">
        <v>9</v>
      </c>
      <c r="J2" s="188">
        <v>10</v>
      </c>
      <c r="K2" s="188">
        <v>11</v>
      </c>
      <c r="L2" s="188">
        <v>12</v>
      </c>
      <c r="M2" s="188">
        <v>13</v>
      </c>
      <c r="N2" s="188">
        <v>14</v>
      </c>
      <c r="O2" s="188">
        <v>15</v>
      </c>
      <c r="P2" s="188">
        <v>17</v>
      </c>
      <c r="Q2" s="188">
        <v>18</v>
      </c>
      <c r="R2" s="188">
        <v>19</v>
      </c>
      <c r="S2" s="188">
        <v>20</v>
      </c>
      <c r="T2" s="188">
        <v>21</v>
      </c>
      <c r="U2" s="188">
        <v>22</v>
      </c>
      <c r="V2" s="188">
        <v>23</v>
      </c>
      <c r="W2" s="188">
        <v>24</v>
      </c>
    </row>
    <row r="3" spans="1:24" x14ac:dyDescent="0.3">
      <c r="B3" s="191" t="s">
        <v>722</v>
      </c>
      <c r="C3" s="191" t="s">
        <v>723</v>
      </c>
      <c r="D3" s="191" t="s">
        <v>720</v>
      </c>
      <c r="E3" s="191" t="s">
        <v>721</v>
      </c>
      <c r="F3" s="188">
        <v>6</v>
      </c>
      <c r="H3" s="191" t="s">
        <v>724</v>
      </c>
      <c r="I3" s="191" t="s">
        <v>723</v>
      </c>
      <c r="J3" s="191" t="s">
        <v>724</v>
      </c>
      <c r="K3" s="191" t="s">
        <v>723</v>
      </c>
      <c r="L3" s="191" t="s">
        <v>723</v>
      </c>
      <c r="N3" s="191" t="s">
        <v>724</v>
      </c>
      <c r="O3" s="191" t="s">
        <v>723</v>
      </c>
      <c r="P3" s="191" t="s">
        <v>725</v>
      </c>
      <c r="Q3" s="191" t="s">
        <v>726</v>
      </c>
      <c r="R3" s="191" t="s">
        <v>727</v>
      </c>
      <c r="S3" s="191" t="s">
        <v>728</v>
      </c>
      <c r="T3" s="191" t="s">
        <v>729</v>
      </c>
      <c r="U3" s="191" t="s">
        <v>727</v>
      </c>
      <c r="V3" s="191" t="s">
        <v>730</v>
      </c>
      <c r="W3" s="191" t="s">
        <v>731</v>
      </c>
      <c r="X3" s="191" t="s">
        <v>732</v>
      </c>
    </row>
    <row r="4" spans="1:24" x14ac:dyDescent="0.3">
      <c r="B4" s="188">
        <v>1.3</v>
      </c>
      <c r="C4" s="188">
        <v>1</v>
      </c>
      <c r="D4" s="192">
        <v>3</v>
      </c>
      <c r="E4" s="191" t="s">
        <v>734</v>
      </c>
      <c r="F4" s="191" t="s">
        <v>735</v>
      </c>
      <c r="G4" s="188">
        <v>16</v>
      </c>
      <c r="H4" s="188">
        <v>1.2999999523162842</v>
      </c>
      <c r="I4" s="188">
        <v>1</v>
      </c>
      <c r="J4" s="193">
        <v>0</v>
      </c>
      <c r="K4" s="194">
        <v>0</v>
      </c>
      <c r="L4" s="194">
        <v>0</v>
      </c>
      <c r="M4" s="194"/>
      <c r="N4" s="188">
        <v>1.2999999523162842</v>
      </c>
      <c r="O4" s="188">
        <v>1</v>
      </c>
      <c r="P4" s="188" t="s">
        <v>736</v>
      </c>
      <c r="Q4" s="188" t="s">
        <v>735</v>
      </c>
      <c r="R4" s="188">
        <v>0</v>
      </c>
      <c r="S4" s="188">
        <v>0</v>
      </c>
      <c r="T4" s="188">
        <v>0</v>
      </c>
      <c r="U4" s="188">
        <v>0</v>
      </c>
      <c r="V4" s="188">
        <v>0</v>
      </c>
      <c r="W4" s="188">
        <v>0</v>
      </c>
    </row>
    <row r="5" spans="1:24" x14ac:dyDescent="0.3">
      <c r="B5" s="188">
        <v>2.2999999999999998</v>
      </c>
      <c r="C5" s="188">
        <v>1</v>
      </c>
      <c r="D5" s="192">
        <v>4</v>
      </c>
      <c r="E5" s="191" t="s">
        <v>738</v>
      </c>
      <c r="F5" s="191" t="s">
        <v>739</v>
      </c>
      <c r="G5" s="188">
        <v>18</v>
      </c>
      <c r="H5" s="188">
        <v>2.2999999523162842</v>
      </c>
      <c r="I5" s="188">
        <v>1</v>
      </c>
      <c r="J5" s="193">
        <v>0</v>
      </c>
      <c r="K5" s="194">
        <v>0</v>
      </c>
      <c r="L5" s="194">
        <v>0</v>
      </c>
      <c r="N5" s="188">
        <v>2.2999999523162842</v>
      </c>
      <c r="O5" s="188">
        <v>1</v>
      </c>
      <c r="P5" s="188" t="s">
        <v>736</v>
      </c>
      <c r="Q5" s="188" t="s">
        <v>735</v>
      </c>
      <c r="R5" s="188">
        <v>0</v>
      </c>
      <c r="S5" s="188">
        <v>0</v>
      </c>
      <c r="T5" s="188">
        <v>0</v>
      </c>
      <c r="U5" s="188">
        <v>0</v>
      </c>
      <c r="V5" s="188">
        <v>0</v>
      </c>
      <c r="W5" s="188">
        <v>0</v>
      </c>
    </row>
    <row r="6" spans="1:24" x14ac:dyDescent="0.3">
      <c r="B6" s="188">
        <f>B5+1</f>
        <v>3.3</v>
      </c>
      <c r="C6" s="188">
        <v>2</v>
      </c>
      <c r="D6" s="192">
        <v>5.05</v>
      </c>
      <c r="E6" s="191" t="s">
        <v>741</v>
      </c>
      <c r="F6" s="191" t="s">
        <v>739</v>
      </c>
      <c r="G6" s="188">
        <v>18</v>
      </c>
      <c r="H6" s="188">
        <v>3.2999999523162842</v>
      </c>
      <c r="I6" s="188">
        <v>2</v>
      </c>
      <c r="J6" s="193">
        <v>0</v>
      </c>
      <c r="K6" s="194">
        <v>0</v>
      </c>
      <c r="L6" s="194">
        <v>0</v>
      </c>
      <c r="N6" s="188">
        <v>3</v>
      </c>
      <c r="O6" s="188">
        <v>1.7000000476837158</v>
      </c>
      <c r="P6" s="188" t="s">
        <v>736</v>
      </c>
      <c r="Q6" s="188" t="s">
        <v>735</v>
      </c>
      <c r="R6" s="188">
        <v>0</v>
      </c>
      <c r="S6" s="188">
        <v>0</v>
      </c>
      <c r="T6" s="188">
        <v>0</v>
      </c>
      <c r="U6" s="188">
        <v>0</v>
      </c>
      <c r="V6" s="188">
        <v>0</v>
      </c>
      <c r="W6" s="188">
        <v>0</v>
      </c>
    </row>
    <row r="7" spans="1:24" x14ac:dyDescent="0.3">
      <c r="B7" s="188">
        <f>B6+1</f>
        <v>4.3</v>
      </c>
      <c r="C7" s="188">
        <v>5</v>
      </c>
      <c r="D7" s="192">
        <v>6</v>
      </c>
      <c r="E7" s="191" t="s">
        <v>741</v>
      </c>
      <c r="F7" s="191" t="s">
        <v>739</v>
      </c>
      <c r="G7" s="188">
        <v>16</v>
      </c>
      <c r="H7" s="188">
        <v>4.3000001907348633</v>
      </c>
      <c r="I7" s="188">
        <v>5</v>
      </c>
      <c r="J7" s="193">
        <v>0</v>
      </c>
      <c r="K7" s="194">
        <v>0</v>
      </c>
      <c r="L7" s="194">
        <v>0</v>
      </c>
      <c r="N7" s="188">
        <v>3.2999999523162842</v>
      </c>
      <c r="O7" s="188">
        <v>2</v>
      </c>
      <c r="P7" s="188" t="s">
        <v>743</v>
      </c>
      <c r="Q7" s="188" t="s">
        <v>739</v>
      </c>
      <c r="R7" s="188">
        <v>0</v>
      </c>
      <c r="S7" s="188">
        <v>0</v>
      </c>
      <c r="T7" s="188">
        <v>0</v>
      </c>
      <c r="U7" s="188">
        <v>0.29999995231628418</v>
      </c>
      <c r="V7" s="188">
        <v>1.8500000238418579</v>
      </c>
      <c r="W7" s="188">
        <v>0.5549999475479126</v>
      </c>
    </row>
    <row r="8" spans="1:24" x14ac:dyDescent="0.3">
      <c r="B8" s="188">
        <f t="shared" ref="B8:B24" si="0">B7+1</f>
        <v>5.3</v>
      </c>
      <c r="C8" s="188">
        <v>1</v>
      </c>
      <c r="D8" s="192">
        <v>13</v>
      </c>
      <c r="E8" s="191" t="s">
        <v>745</v>
      </c>
      <c r="F8" s="191" t="s">
        <v>742</v>
      </c>
      <c r="G8" s="188">
        <v>20</v>
      </c>
      <c r="H8" s="188">
        <v>5.3000001907348633</v>
      </c>
      <c r="I8" s="188">
        <v>1</v>
      </c>
      <c r="J8" s="193">
        <v>0</v>
      </c>
      <c r="K8" s="194">
        <v>0</v>
      </c>
      <c r="L8" s="194">
        <v>0</v>
      </c>
      <c r="N8" s="188">
        <v>4</v>
      </c>
      <c r="O8" s="188">
        <v>4.0999994277954102</v>
      </c>
      <c r="P8" s="188" t="s">
        <v>743</v>
      </c>
      <c r="Q8" s="188" t="s">
        <v>739</v>
      </c>
      <c r="R8" s="188">
        <v>0</v>
      </c>
      <c r="S8" s="188">
        <v>0</v>
      </c>
      <c r="T8" s="188">
        <v>0</v>
      </c>
      <c r="U8" s="188">
        <v>0.70000004768371582</v>
      </c>
      <c r="V8" s="188">
        <v>3.0499997138977051</v>
      </c>
      <c r="W8" s="188">
        <v>2.1349999904632568</v>
      </c>
    </row>
    <row r="9" spans="1:24" x14ac:dyDescent="0.3">
      <c r="B9" s="188">
        <f t="shared" si="0"/>
        <v>6.3</v>
      </c>
      <c r="C9" s="188">
        <v>3</v>
      </c>
      <c r="D9" s="192">
        <v>21.3</v>
      </c>
      <c r="E9" s="191" t="s">
        <v>747</v>
      </c>
      <c r="F9" s="191" t="s">
        <v>742</v>
      </c>
      <c r="G9" s="188">
        <v>20</v>
      </c>
      <c r="H9" s="188">
        <v>6.3000001907348633</v>
      </c>
      <c r="I9" s="188">
        <v>3</v>
      </c>
      <c r="J9" s="193">
        <v>0</v>
      </c>
      <c r="K9" s="194">
        <v>0</v>
      </c>
      <c r="L9" s="194">
        <v>0</v>
      </c>
      <c r="N9" s="188">
        <v>4.3000001907348633</v>
      </c>
      <c r="O9" s="188">
        <v>5</v>
      </c>
      <c r="P9" s="188" t="s">
        <v>748</v>
      </c>
      <c r="Q9" s="188" t="s">
        <v>742</v>
      </c>
      <c r="R9" s="188">
        <v>0.30000019073486328</v>
      </c>
      <c r="S9" s="188">
        <v>4.5499997138977051</v>
      </c>
      <c r="T9" s="188">
        <v>1.3650007247924805</v>
      </c>
      <c r="U9" s="188">
        <v>0</v>
      </c>
      <c r="V9" s="188">
        <v>0</v>
      </c>
      <c r="W9" s="188">
        <v>0</v>
      </c>
    </row>
    <row r="10" spans="1:24" x14ac:dyDescent="0.3">
      <c r="B10" s="188">
        <f t="shared" si="0"/>
        <v>7.3</v>
      </c>
      <c r="C10" s="188">
        <v>4</v>
      </c>
      <c r="H10" s="188">
        <v>7.3000001907348633</v>
      </c>
      <c r="I10" s="188">
        <v>4</v>
      </c>
      <c r="J10" s="193">
        <v>0</v>
      </c>
      <c r="K10" s="194">
        <v>0</v>
      </c>
      <c r="L10" s="194">
        <v>0</v>
      </c>
      <c r="N10" s="188">
        <v>5.0500001907348633</v>
      </c>
      <c r="O10" s="188">
        <v>2</v>
      </c>
      <c r="P10" s="188" t="s">
        <v>748</v>
      </c>
      <c r="Q10" s="188" t="s">
        <v>742</v>
      </c>
      <c r="R10" s="188">
        <v>0.75</v>
      </c>
      <c r="S10" s="188">
        <v>3.5</v>
      </c>
      <c r="T10" s="188">
        <v>2.625</v>
      </c>
      <c r="U10" s="188">
        <v>0</v>
      </c>
      <c r="V10" s="188">
        <v>0</v>
      </c>
      <c r="W10" s="188">
        <v>0</v>
      </c>
    </row>
    <row r="11" spans="1:24" x14ac:dyDescent="0.3">
      <c r="B11" s="188">
        <f t="shared" si="0"/>
        <v>8.3000000000000007</v>
      </c>
      <c r="C11" s="188">
        <v>11</v>
      </c>
      <c r="H11" s="188">
        <v>8.3000001907348633</v>
      </c>
      <c r="I11" s="188">
        <v>11</v>
      </c>
      <c r="J11" s="193">
        <v>0</v>
      </c>
      <c r="K11" s="194">
        <v>0</v>
      </c>
      <c r="L11" s="194">
        <v>0</v>
      </c>
      <c r="N11" s="188">
        <v>5.3000001907348633</v>
      </c>
      <c r="O11" s="188">
        <v>1</v>
      </c>
      <c r="P11" s="188" t="s">
        <v>748</v>
      </c>
      <c r="Q11" s="188" t="s">
        <v>739</v>
      </c>
      <c r="R11" s="188">
        <v>0</v>
      </c>
      <c r="S11" s="188">
        <v>0</v>
      </c>
      <c r="T11" s="188">
        <v>0</v>
      </c>
      <c r="U11" s="188">
        <v>0.25</v>
      </c>
      <c r="V11" s="188">
        <v>1.5</v>
      </c>
      <c r="W11" s="188">
        <v>0.375</v>
      </c>
    </row>
    <row r="12" spans="1:24" x14ac:dyDescent="0.3">
      <c r="B12" s="188">
        <f t="shared" si="0"/>
        <v>9.3000000000000007</v>
      </c>
      <c r="C12" s="188">
        <v>15</v>
      </c>
      <c r="H12" s="188">
        <v>9.3000001907348633</v>
      </c>
      <c r="I12" s="188">
        <v>15</v>
      </c>
      <c r="J12" s="193">
        <v>0</v>
      </c>
      <c r="K12" s="194">
        <v>0</v>
      </c>
      <c r="L12" s="194">
        <v>0</v>
      </c>
      <c r="N12" s="188">
        <v>6</v>
      </c>
      <c r="O12" s="188">
        <v>2.3999996185302734</v>
      </c>
      <c r="P12" s="188" t="s">
        <v>748</v>
      </c>
      <c r="Q12" s="188" t="s">
        <v>739</v>
      </c>
      <c r="R12" s="188">
        <v>0</v>
      </c>
      <c r="S12" s="188">
        <v>0</v>
      </c>
      <c r="T12" s="188">
        <v>0</v>
      </c>
      <c r="U12" s="188">
        <v>0.69999980926513672</v>
      </c>
      <c r="V12" s="188">
        <v>1.6999998092651367</v>
      </c>
      <c r="W12" s="188">
        <v>1.1899995803833008</v>
      </c>
    </row>
    <row r="13" spans="1:24" x14ac:dyDescent="0.3">
      <c r="B13" s="188">
        <f t="shared" si="0"/>
        <v>10.3</v>
      </c>
      <c r="C13" s="188">
        <v>16</v>
      </c>
      <c r="H13" s="188">
        <v>10.300000190734863</v>
      </c>
      <c r="I13" s="188">
        <v>16</v>
      </c>
      <c r="J13" s="193">
        <v>0</v>
      </c>
      <c r="K13" s="194">
        <v>0</v>
      </c>
      <c r="L13" s="194">
        <v>0</v>
      </c>
      <c r="N13" s="188">
        <v>6.3000001907348633</v>
      </c>
      <c r="O13" s="188">
        <v>3</v>
      </c>
      <c r="P13" s="188" t="s">
        <v>752</v>
      </c>
      <c r="Q13" s="188" t="s">
        <v>742</v>
      </c>
      <c r="R13" s="188">
        <v>0.30000019073486328</v>
      </c>
      <c r="S13" s="188">
        <v>2.6999998092651367</v>
      </c>
      <c r="T13" s="188">
        <v>0.81000047922134399</v>
      </c>
      <c r="U13" s="188">
        <v>0</v>
      </c>
      <c r="V13" s="188">
        <v>0</v>
      </c>
      <c r="W13" s="188">
        <v>0</v>
      </c>
    </row>
    <row r="14" spans="1:24" x14ac:dyDescent="0.3">
      <c r="B14" s="188">
        <f>1+B13</f>
        <v>11.3</v>
      </c>
      <c r="C14" s="188">
        <v>13</v>
      </c>
      <c r="H14" s="188">
        <v>11.300000190734863</v>
      </c>
      <c r="I14" s="188">
        <v>13</v>
      </c>
      <c r="J14" s="193">
        <v>0</v>
      </c>
      <c r="K14" s="194">
        <v>0</v>
      </c>
      <c r="L14" s="194">
        <v>0</v>
      </c>
      <c r="N14" s="188">
        <v>7.3000001907348633</v>
      </c>
      <c r="O14" s="188">
        <v>4</v>
      </c>
      <c r="P14" s="188" t="s">
        <v>752</v>
      </c>
      <c r="Q14" s="188" t="s">
        <v>742</v>
      </c>
      <c r="R14" s="188">
        <v>1</v>
      </c>
      <c r="S14" s="188">
        <v>3.5</v>
      </c>
      <c r="T14" s="188">
        <v>3.5</v>
      </c>
      <c r="U14" s="188">
        <v>0</v>
      </c>
      <c r="V14" s="188">
        <v>0</v>
      </c>
      <c r="W14" s="188">
        <v>0</v>
      </c>
    </row>
    <row r="15" spans="1:24" x14ac:dyDescent="0.3">
      <c r="B15" s="188">
        <f t="shared" si="0"/>
        <v>12.3</v>
      </c>
      <c r="C15" s="188">
        <v>12</v>
      </c>
      <c r="H15" s="188">
        <v>12.300000190734863</v>
      </c>
      <c r="I15" s="188">
        <v>12</v>
      </c>
      <c r="J15" s="193">
        <v>0</v>
      </c>
      <c r="K15" s="194">
        <v>0</v>
      </c>
      <c r="L15" s="194">
        <v>0</v>
      </c>
      <c r="N15" s="188">
        <v>8.3000001907348633</v>
      </c>
      <c r="O15" s="188">
        <v>11</v>
      </c>
      <c r="P15" s="188" t="s">
        <v>752</v>
      </c>
      <c r="Q15" s="188" t="s">
        <v>742</v>
      </c>
      <c r="R15" s="188">
        <v>1</v>
      </c>
      <c r="S15" s="188">
        <v>7.5</v>
      </c>
      <c r="T15" s="188">
        <v>7.5</v>
      </c>
      <c r="U15" s="188">
        <v>0</v>
      </c>
      <c r="V15" s="188">
        <v>0</v>
      </c>
      <c r="W15" s="188">
        <v>0</v>
      </c>
    </row>
    <row r="16" spans="1:24" x14ac:dyDescent="0.3">
      <c r="B16" s="188">
        <f t="shared" si="0"/>
        <v>13.3</v>
      </c>
      <c r="C16" s="188">
        <v>20</v>
      </c>
      <c r="H16" s="188">
        <v>13.300000190734863</v>
      </c>
      <c r="I16" s="188">
        <v>20</v>
      </c>
      <c r="J16" s="193">
        <v>0</v>
      </c>
      <c r="K16" s="194">
        <v>0</v>
      </c>
      <c r="L16" s="194">
        <v>0</v>
      </c>
      <c r="N16" s="188">
        <v>9.3000001907348633</v>
      </c>
      <c r="O16" s="188">
        <v>15</v>
      </c>
      <c r="P16" s="188" t="s">
        <v>752</v>
      </c>
      <c r="Q16" s="188" t="s">
        <v>742</v>
      </c>
      <c r="R16" s="188">
        <v>1</v>
      </c>
      <c r="S16" s="188">
        <v>13</v>
      </c>
      <c r="T16" s="188">
        <v>13</v>
      </c>
      <c r="U16" s="188">
        <v>0</v>
      </c>
      <c r="V16" s="188">
        <v>0</v>
      </c>
      <c r="W16" s="188">
        <v>0</v>
      </c>
    </row>
    <row r="17" spans="2:23" x14ac:dyDescent="0.3">
      <c r="B17" s="188">
        <f t="shared" si="0"/>
        <v>14.3</v>
      </c>
      <c r="C17" s="188">
        <v>18</v>
      </c>
      <c r="H17" s="188">
        <v>13.800000190734863</v>
      </c>
      <c r="I17" s="188">
        <v>19</v>
      </c>
      <c r="J17" s="193">
        <v>0</v>
      </c>
      <c r="K17" s="194">
        <v>0</v>
      </c>
      <c r="L17" s="194">
        <v>0</v>
      </c>
      <c r="N17" s="188">
        <v>10.300000190734863</v>
      </c>
      <c r="O17" s="188">
        <v>16</v>
      </c>
      <c r="P17" s="188" t="s">
        <v>752</v>
      </c>
      <c r="Q17" s="188" t="s">
        <v>742</v>
      </c>
      <c r="R17" s="188">
        <v>1</v>
      </c>
      <c r="S17" s="188">
        <v>15.5</v>
      </c>
      <c r="T17" s="188">
        <v>15.5</v>
      </c>
      <c r="U17" s="188">
        <v>0</v>
      </c>
      <c r="V17" s="188">
        <v>0</v>
      </c>
      <c r="W17" s="188">
        <v>0</v>
      </c>
    </row>
    <row r="18" spans="2:23" x14ac:dyDescent="0.3">
      <c r="B18" s="188">
        <f t="shared" si="0"/>
        <v>15.3</v>
      </c>
      <c r="C18" s="188">
        <v>22</v>
      </c>
      <c r="H18" s="188">
        <v>14.300000190734863</v>
      </c>
      <c r="I18" s="188">
        <v>18</v>
      </c>
      <c r="J18" s="193">
        <v>0.5</v>
      </c>
      <c r="K18" s="194">
        <v>18.5</v>
      </c>
      <c r="L18" s="194">
        <v>9.25</v>
      </c>
      <c r="N18" s="188">
        <v>11.300000190734863</v>
      </c>
      <c r="O18" s="188">
        <v>13</v>
      </c>
      <c r="P18" s="188" t="s">
        <v>752</v>
      </c>
      <c r="Q18" s="188" t="s">
        <v>742</v>
      </c>
      <c r="R18" s="188">
        <v>1</v>
      </c>
      <c r="S18" s="188">
        <v>14.5</v>
      </c>
      <c r="T18" s="188">
        <v>14.5</v>
      </c>
      <c r="U18" s="188">
        <v>0</v>
      </c>
      <c r="V18" s="188">
        <v>0</v>
      </c>
      <c r="W18" s="188">
        <v>0</v>
      </c>
    </row>
    <row r="19" spans="2:23" x14ac:dyDescent="0.3">
      <c r="B19" s="188">
        <f t="shared" si="0"/>
        <v>16.3</v>
      </c>
      <c r="C19" s="188">
        <v>24</v>
      </c>
      <c r="H19" s="188">
        <v>15.300000190734863</v>
      </c>
      <c r="I19" s="188">
        <v>22</v>
      </c>
      <c r="J19" s="193">
        <v>1</v>
      </c>
      <c r="K19" s="194">
        <v>20</v>
      </c>
      <c r="L19" s="194">
        <v>20</v>
      </c>
      <c r="N19" s="188">
        <v>12.300000190734863</v>
      </c>
      <c r="O19" s="188">
        <v>12</v>
      </c>
      <c r="P19" s="188" t="s">
        <v>752</v>
      </c>
      <c r="Q19" s="188" t="s">
        <v>742</v>
      </c>
      <c r="R19" s="188">
        <v>1</v>
      </c>
      <c r="S19" s="188">
        <v>12.5</v>
      </c>
      <c r="T19" s="188">
        <v>12.5</v>
      </c>
      <c r="U19" s="188">
        <v>0</v>
      </c>
      <c r="V19" s="188">
        <v>0</v>
      </c>
      <c r="W19" s="188">
        <v>0</v>
      </c>
    </row>
    <row r="20" spans="2:23" x14ac:dyDescent="0.3">
      <c r="B20" s="188">
        <f t="shared" si="0"/>
        <v>17.3</v>
      </c>
      <c r="C20" s="188">
        <v>20</v>
      </c>
      <c r="H20" s="188">
        <v>16.200000762939453</v>
      </c>
      <c r="I20" s="188">
        <v>23.800003051757813</v>
      </c>
      <c r="J20" s="193">
        <v>0.90000057220458984</v>
      </c>
      <c r="K20" s="194">
        <v>22.900001525878906</v>
      </c>
      <c r="L20" s="194">
        <v>20.610013961791992</v>
      </c>
      <c r="N20" s="188">
        <v>13</v>
      </c>
      <c r="O20" s="188">
        <v>17.599998474121094</v>
      </c>
      <c r="P20" s="188" t="s">
        <v>752</v>
      </c>
      <c r="Q20" s="188" t="s">
        <v>742</v>
      </c>
      <c r="R20" s="188">
        <v>0.69999980926513672</v>
      </c>
      <c r="S20" s="188">
        <v>14.799999237060547</v>
      </c>
      <c r="T20" s="188">
        <v>10.359996795654297</v>
      </c>
      <c r="U20" s="188">
        <v>0</v>
      </c>
      <c r="V20" s="188">
        <v>0</v>
      </c>
      <c r="W20" s="188">
        <v>0</v>
      </c>
    </row>
    <row r="21" spans="2:23" x14ac:dyDescent="0.3">
      <c r="B21" s="188">
        <f t="shared" si="0"/>
        <v>18.3</v>
      </c>
      <c r="C21" s="188">
        <v>25</v>
      </c>
      <c r="H21" s="188">
        <v>16.299999237060547</v>
      </c>
      <c r="I21" s="188">
        <v>24</v>
      </c>
      <c r="J21" s="193">
        <v>9.999847412109375E-2</v>
      </c>
      <c r="K21" s="194">
        <v>23.900001525878906</v>
      </c>
      <c r="L21" s="194">
        <v>2.3899636268615723</v>
      </c>
      <c r="N21" s="188">
        <v>13.300000190734863</v>
      </c>
      <c r="O21" s="188">
        <v>20</v>
      </c>
      <c r="P21" s="188" t="s">
        <v>759</v>
      </c>
      <c r="Q21" s="188" t="s">
        <v>742</v>
      </c>
      <c r="R21" s="188">
        <v>0.30000019073486328</v>
      </c>
      <c r="S21" s="188">
        <v>18.799999237060547</v>
      </c>
      <c r="T21" s="188">
        <v>5.6400032043457031</v>
      </c>
      <c r="U21" s="188">
        <v>0</v>
      </c>
      <c r="V21" s="188">
        <v>0</v>
      </c>
      <c r="W21" s="188">
        <v>0</v>
      </c>
    </row>
    <row r="22" spans="2:23" x14ac:dyDescent="0.3">
      <c r="B22" s="188">
        <f t="shared" si="0"/>
        <v>19.3</v>
      </c>
      <c r="C22" s="188">
        <v>25</v>
      </c>
      <c r="H22" s="188">
        <v>16.799999237060547</v>
      </c>
      <c r="I22" s="188">
        <v>22</v>
      </c>
      <c r="J22" s="193">
        <v>0.5</v>
      </c>
      <c r="K22" s="194">
        <v>23</v>
      </c>
      <c r="L22" s="194">
        <v>11.5</v>
      </c>
      <c r="N22" s="188">
        <v>14.300000190734863</v>
      </c>
      <c r="O22" s="188">
        <v>18</v>
      </c>
      <c r="P22" s="188" t="s">
        <v>759</v>
      </c>
      <c r="Q22" s="188" t="s">
        <v>742</v>
      </c>
      <c r="R22" s="188">
        <v>1</v>
      </c>
      <c r="S22" s="188">
        <v>19</v>
      </c>
      <c r="T22" s="188">
        <v>19</v>
      </c>
      <c r="U22" s="188">
        <v>0</v>
      </c>
      <c r="V22" s="188">
        <v>0</v>
      </c>
      <c r="W22" s="188">
        <v>0</v>
      </c>
    </row>
    <row r="23" spans="2:23" x14ac:dyDescent="0.3">
      <c r="B23" s="188">
        <f t="shared" si="0"/>
        <v>20.3</v>
      </c>
      <c r="C23" s="188">
        <v>50</v>
      </c>
      <c r="H23" s="188">
        <v>17.299999237060547</v>
      </c>
      <c r="I23" s="188">
        <v>20</v>
      </c>
      <c r="J23" s="193">
        <v>0</v>
      </c>
      <c r="K23" s="194">
        <v>0</v>
      </c>
      <c r="L23" s="194">
        <v>0</v>
      </c>
      <c r="N23" s="188">
        <v>15.300000190734863</v>
      </c>
      <c r="O23" s="188">
        <v>22</v>
      </c>
      <c r="P23" s="188" t="s">
        <v>759</v>
      </c>
      <c r="Q23" s="188" t="s">
        <v>742</v>
      </c>
      <c r="R23" s="188">
        <v>1</v>
      </c>
      <c r="S23" s="188">
        <v>20</v>
      </c>
      <c r="T23" s="188">
        <v>20</v>
      </c>
      <c r="U23" s="188">
        <v>0</v>
      </c>
      <c r="V23" s="188">
        <v>0</v>
      </c>
      <c r="W23" s="188">
        <v>0</v>
      </c>
    </row>
    <row r="24" spans="2:23" x14ac:dyDescent="0.3">
      <c r="B24" s="188">
        <f t="shared" si="0"/>
        <v>21.3</v>
      </c>
      <c r="C24" s="188">
        <v>50</v>
      </c>
      <c r="H24" s="188">
        <v>18.299999237060547</v>
      </c>
      <c r="I24" s="188">
        <v>25</v>
      </c>
      <c r="J24" s="193">
        <v>0</v>
      </c>
      <c r="K24" s="194">
        <v>0</v>
      </c>
      <c r="L24" s="194">
        <v>0</v>
      </c>
      <c r="N24" s="188">
        <v>16.200000762939453</v>
      </c>
      <c r="O24" s="188">
        <v>23.800003051757813</v>
      </c>
      <c r="P24" s="188" t="s">
        <v>759</v>
      </c>
      <c r="Q24" s="188" t="s">
        <v>742</v>
      </c>
      <c r="R24" s="188">
        <v>0.90000057220458984</v>
      </c>
      <c r="S24" s="188">
        <v>22.900001525878906</v>
      </c>
      <c r="T24" s="188">
        <v>20.610013961791992</v>
      </c>
      <c r="U24" s="188">
        <v>0</v>
      </c>
      <c r="V24" s="188">
        <v>0</v>
      </c>
      <c r="W24" s="188">
        <v>0</v>
      </c>
    </row>
    <row r="25" spans="2:23" x14ac:dyDescent="0.3">
      <c r="H25" s="188">
        <v>19.299999237060547</v>
      </c>
      <c r="I25" s="188">
        <v>25</v>
      </c>
      <c r="J25" s="193">
        <v>0</v>
      </c>
      <c r="K25" s="194">
        <v>0</v>
      </c>
      <c r="L25" s="194">
        <v>0</v>
      </c>
      <c r="N25" s="188">
        <v>16.299999237060547</v>
      </c>
      <c r="O25" s="188">
        <v>24</v>
      </c>
      <c r="R25" s="188">
        <v>11.250000953674316</v>
      </c>
      <c r="T25" s="188">
        <v>146.91001892089844</v>
      </c>
      <c r="U25" s="188">
        <v>1.9499998092651367</v>
      </c>
      <c r="W25" s="188">
        <v>4.2549996376037598</v>
      </c>
    </row>
    <row r="26" spans="2:23" x14ac:dyDescent="0.3">
      <c r="H26" s="188">
        <v>20.299999237060547</v>
      </c>
      <c r="I26" s="188">
        <v>50</v>
      </c>
      <c r="J26" s="193">
        <v>0</v>
      </c>
      <c r="K26" s="194">
        <v>0</v>
      </c>
      <c r="L26" s="194">
        <v>0</v>
      </c>
      <c r="M26" s="189"/>
      <c r="N26" s="188">
        <v>17.299999237060547</v>
      </c>
      <c r="O26" s="188">
        <v>20</v>
      </c>
      <c r="P26" s="189"/>
      <c r="S26" s="189"/>
      <c r="T26" s="188">
        <v>13.058667182922363</v>
      </c>
      <c r="W26" s="188">
        <v>2.182051420211792</v>
      </c>
    </row>
    <row r="27" spans="2:23" x14ac:dyDescent="0.3">
      <c r="H27" s="188">
        <v>21.299999237060547</v>
      </c>
      <c r="I27" s="188">
        <v>50</v>
      </c>
      <c r="J27" s="193">
        <v>0</v>
      </c>
      <c r="K27" s="194">
        <v>0</v>
      </c>
      <c r="L27" s="194">
        <v>0</v>
      </c>
      <c r="M27" s="189"/>
      <c r="N27" s="188">
        <v>18.299999237060547</v>
      </c>
      <c r="O27" s="188">
        <v>25</v>
      </c>
      <c r="P27" s="189"/>
      <c r="R27" s="188" t="s">
        <v>764</v>
      </c>
      <c r="S27" s="189"/>
      <c r="T27" s="188">
        <v>489.7000732421875</v>
      </c>
      <c r="U27" s="188" t="s">
        <v>765</v>
      </c>
      <c r="W27" s="188">
        <v>27.275642395019531</v>
      </c>
    </row>
    <row r="28" spans="2:23" x14ac:dyDescent="0.3">
      <c r="J28" s="193"/>
      <c r="K28" s="194"/>
      <c r="L28" s="194"/>
      <c r="N28" s="188">
        <v>19.299999237060547</v>
      </c>
      <c r="O28" s="188">
        <v>25</v>
      </c>
      <c r="U28" s="188" t="s">
        <v>767</v>
      </c>
      <c r="W28" s="188">
        <v>13.637821197509766</v>
      </c>
    </row>
    <row r="29" spans="2:23" x14ac:dyDescent="0.3">
      <c r="J29" s="193">
        <v>2.9999990463256836</v>
      </c>
      <c r="K29" s="194"/>
      <c r="L29" s="194">
        <v>63.749980926513672</v>
      </c>
      <c r="N29" s="188">
        <v>20.299999237060547</v>
      </c>
      <c r="O29" s="188">
        <v>50</v>
      </c>
    </row>
  </sheetData>
  <phoneticPr fontId="2"/>
  <pageMargins left="0.7" right="0.7" top="0.75" bottom="0.75" header="0.3" footer="0.3"/>
  <pageSetup paperSize="9" orientation="portrait" r:id="rId1"/>
  <headerFooter>
    <oddFooter>&amp;C&amp;1#&amp;"Calibri"&amp;10&amp;K000000Confidential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T100"/>
  <sheetViews>
    <sheetView zoomScale="115" zoomScaleNormal="115" workbookViewId="0">
      <selection activeCell="G17" sqref="G17"/>
    </sheetView>
  </sheetViews>
  <sheetFormatPr defaultColWidth="9" defaultRowHeight="15" x14ac:dyDescent="0.55000000000000004"/>
  <cols>
    <col min="1" max="1" width="4.62890625" style="196" customWidth="1"/>
    <col min="2" max="4" width="5.62890625" style="196" customWidth="1"/>
    <col min="5" max="16384" width="9" style="196"/>
  </cols>
  <sheetData>
    <row r="1" spans="1:20" x14ac:dyDescent="0.55000000000000004">
      <c r="A1" s="196">
        <v>1</v>
      </c>
      <c r="B1" s="196">
        <v>2</v>
      </c>
      <c r="C1" s="196">
        <v>3</v>
      </c>
      <c r="D1" s="196">
        <v>4</v>
      </c>
      <c r="E1" s="196">
        <v>5</v>
      </c>
      <c r="F1" s="196">
        <v>6</v>
      </c>
      <c r="G1" s="196">
        <v>7</v>
      </c>
      <c r="H1" s="196">
        <v>8</v>
      </c>
      <c r="I1" s="196">
        <v>9</v>
      </c>
      <c r="J1" s="196">
        <v>10</v>
      </c>
      <c r="K1" s="196">
        <v>11</v>
      </c>
      <c r="L1" s="196">
        <v>12</v>
      </c>
    </row>
    <row r="2" spans="1:20" x14ac:dyDescent="0.55000000000000004">
      <c r="B2" s="196" t="s">
        <v>713</v>
      </c>
      <c r="C2" s="196" t="s">
        <v>714</v>
      </c>
      <c r="E2" s="196" t="s">
        <v>769</v>
      </c>
    </row>
    <row r="3" spans="1:20" s="197" customFormat="1" ht="15.75" customHeight="1" x14ac:dyDescent="0.55000000000000004">
      <c r="F3" s="197" t="s">
        <v>218</v>
      </c>
      <c r="G3" s="197">
        <v>600</v>
      </c>
      <c r="K3">
        <v>1.3</v>
      </c>
      <c r="L3">
        <v>6</v>
      </c>
      <c r="M3"/>
      <c r="N3"/>
      <c r="O3"/>
      <c r="P3"/>
      <c r="Q3"/>
      <c r="R3"/>
      <c r="S3"/>
      <c r="T3"/>
    </row>
    <row r="4" spans="1:20" x14ac:dyDescent="0.55000000000000004">
      <c r="B4" s="196">
        <v>1.3</v>
      </c>
      <c r="C4" s="196">
        <v>6</v>
      </c>
      <c r="F4" s="196" t="s">
        <v>718</v>
      </c>
      <c r="G4" s="196">
        <v>1</v>
      </c>
      <c r="K4">
        <v>2.2999999999999998</v>
      </c>
      <c r="L4">
        <v>8</v>
      </c>
      <c r="M4"/>
      <c r="N4"/>
      <c r="O4"/>
      <c r="P4"/>
      <c r="Q4"/>
      <c r="R4"/>
      <c r="S4"/>
      <c r="T4"/>
    </row>
    <row r="5" spans="1:20" x14ac:dyDescent="0.55000000000000004">
      <c r="B5" s="196">
        <v>2.2999999999999998</v>
      </c>
      <c r="C5" s="196">
        <v>8</v>
      </c>
      <c r="F5" s="196" t="s">
        <v>235</v>
      </c>
      <c r="G5" s="196">
        <v>15</v>
      </c>
      <c r="K5">
        <v>3.3</v>
      </c>
      <c r="L5">
        <v>3</v>
      </c>
      <c r="M5"/>
      <c r="N5"/>
      <c r="O5"/>
      <c r="P5"/>
      <c r="Q5"/>
      <c r="R5"/>
      <c r="S5"/>
      <c r="T5"/>
    </row>
    <row r="6" spans="1:20" x14ac:dyDescent="0.55000000000000004">
      <c r="B6" s="196">
        <v>3.3</v>
      </c>
      <c r="C6" s="196">
        <v>3</v>
      </c>
      <c r="F6" s="196" t="s">
        <v>716</v>
      </c>
      <c r="G6" s="196">
        <f>G7-G3/1000*H6</f>
        <v>13.6</v>
      </c>
      <c r="H6" s="196">
        <v>4</v>
      </c>
      <c r="K6">
        <v>4.3</v>
      </c>
      <c r="L6">
        <v>4</v>
      </c>
      <c r="M6"/>
      <c r="N6"/>
      <c r="O6"/>
      <c r="P6"/>
      <c r="Q6"/>
      <c r="R6"/>
      <c r="S6"/>
      <c r="T6"/>
    </row>
    <row r="7" spans="1:20" x14ac:dyDescent="0.55000000000000004">
      <c r="B7" s="196">
        <v>4.3</v>
      </c>
      <c r="C7" s="196">
        <v>4</v>
      </c>
      <c r="F7" s="196" t="s">
        <v>715</v>
      </c>
      <c r="G7" s="196">
        <f>G4+G5</f>
        <v>16</v>
      </c>
      <c r="K7">
        <v>5.3</v>
      </c>
      <c r="L7">
        <v>4</v>
      </c>
      <c r="M7"/>
      <c r="N7"/>
      <c r="O7"/>
      <c r="P7"/>
      <c r="Q7"/>
      <c r="R7"/>
      <c r="S7"/>
      <c r="T7"/>
    </row>
    <row r="8" spans="1:20" x14ac:dyDescent="0.55000000000000004">
      <c r="B8" s="196">
        <v>5.3</v>
      </c>
      <c r="C8" s="196">
        <v>4</v>
      </c>
      <c r="F8" s="196" t="s">
        <v>717</v>
      </c>
      <c r="G8" s="196">
        <f>G7+G3/1000*H8</f>
        <v>16.600000000000001</v>
      </c>
      <c r="H8" s="196">
        <v>1</v>
      </c>
      <c r="K8">
        <v>6.3</v>
      </c>
      <c r="L8">
        <v>5</v>
      </c>
      <c r="M8"/>
      <c r="N8"/>
      <c r="O8"/>
      <c r="P8"/>
      <c r="Q8"/>
      <c r="R8"/>
      <c r="S8"/>
      <c r="T8"/>
    </row>
    <row r="9" spans="1:20" x14ac:dyDescent="0.55000000000000004">
      <c r="B9" s="196">
        <v>6.3</v>
      </c>
      <c r="C9" s="196">
        <v>5</v>
      </c>
      <c r="K9">
        <v>7.3</v>
      </c>
      <c r="L9">
        <v>7</v>
      </c>
      <c r="M9"/>
      <c r="N9"/>
      <c r="O9"/>
      <c r="P9"/>
      <c r="Q9"/>
      <c r="R9"/>
      <c r="S9"/>
      <c r="T9"/>
    </row>
    <row r="10" spans="1:20" x14ac:dyDescent="0.55000000000000004">
      <c r="B10" s="196">
        <v>7.3</v>
      </c>
      <c r="C10" s="196">
        <v>7</v>
      </c>
      <c r="F10" s="197" t="s">
        <v>770</v>
      </c>
      <c r="G10" s="197" t="s">
        <v>771</v>
      </c>
      <c r="H10" s="197" t="s">
        <v>772</v>
      </c>
      <c r="I10" s="197" t="s">
        <v>773</v>
      </c>
      <c r="J10" s="197" t="s">
        <v>775</v>
      </c>
      <c r="K10">
        <v>8.3000000000000007</v>
      </c>
      <c r="L10">
        <v>22</v>
      </c>
      <c r="M10"/>
      <c r="N10"/>
      <c r="O10"/>
      <c r="P10"/>
      <c r="Q10"/>
      <c r="R10"/>
      <c r="S10"/>
      <c r="T10"/>
    </row>
    <row r="11" spans="1:20" x14ac:dyDescent="0.55000000000000004">
      <c r="B11" s="196">
        <v>8.3000000000000007</v>
      </c>
      <c r="C11" s="196">
        <v>22</v>
      </c>
      <c r="F11">
        <v>13.6</v>
      </c>
      <c r="G11">
        <v>35</v>
      </c>
      <c r="H11"/>
      <c r="I11"/>
      <c r="J11"/>
      <c r="K11">
        <v>9.3000000000000007</v>
      </c>
      <c r="L11">
        <v>20</v>
      </c>
      <c r="M11"/>
      <c r="N11"/>
      <c r="O11"/>
      <c r="P11"/>
      <c r="Q11"/>
      <c r="R11"/>
      <c r="S11"/>
      <c r="T11"/>
    </row>
    <row r="12" spans="1:20" x14ac:dyDescent="0.55000000000000004">
      <c r="B12" s="196">
        <v>9.3000000000000007</v>
      </c>
      <c r="C12" s="196">
        <v>20</v>
      </c>
      <c r="F12"/>
      <c r="G12"/>
      <c r="H12">
        <v>0.70000000000000107</v>
      </c>
      <c r="I12">
        <v>31.5</v>
      </c>
      <c r="J12">
        <v>22.049999237060547</v>
      </c>
      <c r="K12">
        <v>10.3</v>
      </c>
      <c r="L12">
        <v>23</v>
      </c>
      <c r="M12"/>
      <c r="N12"/>
      <c r="O12"/>
      <c r="P12"/>
      <c r="Q12"/>
      <c r="R12"/>
      <c r="S12"/>
      <c r="T12"/>
    </row>
    <row r="13" spans="1:20" x14ac:dyDescent="0.55000000000000004">
      <c r="B13" s="196">
        <v>10.3</v>
      </c>
      <c r="C13" s="196">
        <v>23</v>
      </c>
      <c r="F13">
        <v>14.3</v>
      </c>
      <c r="G13">
        <v>28</v>
      </c>
      <c r="H13"/>
      <c r="I13"/>
      <c r="J13"/>
      <c r="K13">
        <v>11.3</v>
      </c>
      <c r="L13">
        <v>25</v>
      </c>
      <c r="M13"/>
      <c r="N13"/>
      <c r="O13"/>
      <c r="P13"/>
      <c r="Q13"/>
      <c r="R13"/>
      <c r="S13"/>
      <c r="T13"/>
    </row>
    <row r="14" spans="1:20" x14ac:dyDescent="0.55000000000000004">
      <c r="B14" s="196">
        <v>11.3</v>
      </c>
      <c r="C14" s="196">
        <v>25</v>
      </c>
      <c r="F14"/>
      <c r="G14"/>
      <c r="H14">
        <v>1</v>
      </c>
      <c r="I14">
        <v>35</v>
      </c>
      <c r="J14">
        <v>35</v>
      </c>
      <c r="K14">
        <v>12.3</v>
      </c>
      <c r="L14">
        <v>34</v>
      </c>
      <c r="M14"/>
      <c r="N14"/>
      <c r="O14"/>
      <c r="P14"/>
      <c r="Q14"/>
      <c r="R14"/>
      <c r="S14"/>
      <c r="T14"/>
    </row>
    <row r="15" spans="1:20" x14ac:dyDescent="0.55000000000000004">
      <c r="B15" s="196">
        <v>12.3</v>
      </c>
      <c r="C15" s="196">
        <v>34</v>
      </c>
      <c r="F15">
        <v>15.3</v>
      </c>
      <c r="G15">
        <v>42</v>
      </c>
      <c r="H15"/>
      <c r="I15"/>
      <c r="J15"/>
      <c r="K15">
        <v>13.3</v>
      </c>
      <c r="L15">
        <v>38</v>
      </c>
      <c r="M15"/>
      <c r="N15"/>
      <c r="O15"/>
      <c r="P15"/>
      <c r="Q15"/>
      <c r="R15"/>
      <c r="S15"/>
      <c r="T15"/>
    </row>
    <row r="16" spans="1:20" x14ac:dyDescent="0.55000000000000004">
      <c r="B16" s="196">
        <v>13.3</v>
      </c>
      <c r="C16" s="196">
        <v>38</v>
      </c>
      <c r="F16"/>
      <c r="G16"/>
      <c r="H16">
        <v>0.69999999999999929</v>
      </c>
      <c r="I16">
        <v>49.350000381469727</v>
      </c>
      <c r="J16">
        <v>34.545001983642578</v>
      </c>
      <c r="K16">
        <v>13.6</v>
      </c>
      <c r="L16">
        <v>35</v>
      </c>
      <c r="M16"/>
      <c r="N16"/>
      <c r="O16"/>
      <c r="P16"/>
      <c r="Q16"/>
      <c r="R16"/>
      <c r="S16"/>
      <c r="T16"/>
    </row>
    <row r="17" spans="2:20" x14ac:dyDescent="0.55000000000000004">
      <c r="B17" s="196">
        <v>14.3</v>
      </c>
      <c r="C17" s="196">
        <v>28</v>
      </c>
      <c r="F17">
        <v>16</v>
      </c>
      <c r="G17">
        <v>56.700000762939453</v>
      </c>
      <c r="H17"/>
      <c r="I17"/>
      <c r="J17"/>
      <c r="K17">
        <v>14.3</v>
      </c>
      <c r="L17">
        <v>28</v>
      </c>
      <c r="M17">
        <v>0.70000000000000107</v>
      </c>
      <c r="N17">
        <v>31.5</v>
      </c>
      <c r="O17">
        <v>22.049999237060547</v>
      </c>
      <c r="P17"/>
      <c r="Q17"/>
      <c r="R17"/>
      <c r="S17"/>
      <c r="T17"/>
    </row>
    <row r="18" spans="2:20" x14ac:dyDescent="0.55000000000000004">
      <c r="B18" s="196">
        <v>15.3</v>
      </c>
      <c r="C18" s="196">
        <v>42</v>
      </c>
      <c r="F18"/>
      <c r="G18"/>
      <c r="H18">
        <v>0.30000000000000071</v>
      </c>
      <c r="I18">
        <v>59.850000381469727</v>
      </c>
      <c r="J18">
        <v>17.954999923706055</v>
      </c>
      <c r="K18">
        <v>15.3</v>
      </c>
      <c r="L18">
        <v>42</v>
      </c>
      <c r="M18">
        <v>1</v>
      </c>
      <c r="N18">
        <v>35</v>
      </c>
      <c r="O18">
        <v>35</v>
      </c>
      <c r="P18"/>
      <c r="Q18"/>
      <c r="R18"/>
      <c r="S18"/>
      <c r="T18"/>
    </row>
    <row r="19" spans="2:20" x14ac:dyDescent="0.55000000000000004">
      <c r="B19" s="196">
        <v>16.3</v>
      </c>
      <c r="C19" s="196">
        <v>63</v>
      </c>
      <c r="F19">
        <v>16.3</v>
      </c>
      <c r="G19">
        <v>63</v>
      </c>
      <c r="H19"/>
      <c r="I19"/>
      <c r="J19"/>
      <c r="K19">
        <v>16</v>
      </c>
      <c r="L19">
        <v>56.700000762939453</v>
      </c>
      <c r="M19">
        <v>0.69999999999999929</v>
      </c>
      <c r="N19">
        <v>49.350000381469727</v>
      </c>
      <c r="O19">
        <v>34.545001983642578</v>
      </c>
      <c r="P19"/>
      <c r="Q19"/>
      <c r="R19"/>
      <c r="S19"/>
      <c r="T19"/>
    </row>
    <row r="20" spans="2:20" x14ac:dyDescent="0.55000000000000004">
      <c r="B20" s="196">
        <v>17.3</v>
      </c>
      <c r="C20" s="196">
        <v>71</v>
      </c>
      <c r="F20"/>
      <c r="G20"/>
      <c r="H20">
        <v>0.30000000000000071</v>
      </c>
      <c r="I20">
        <v>64.200000762939453</v>
      </c>
      <c r="J20">
        <v>19.260000228881836</v>
      </c>
      <c r="K20">
        <v>16.3</v>
      </c>
      <c r="L20">
        <v>63</v>
      </c>
      <c r="M20">
        <v>0.30000000000000071</v>
      </c>
      <c r="N20">
        <v>59.850000381469727</v>
      </c>
      <c r="O20">
        <v>17.954999923706055</v>
      </c>
      <c r="P20"/>
      <c r="Q20"/>
      <c r="R20"/>
      <c r="S20"/>
      <c r="T20"/>
    </row>
    <row r="21" spans="2:20" x14ac:dyDescent="0.55000000000000004">
      <c r="B21" s="196">
        <v>18.3</v>
      </c>
      <c r="C21" s="196">
        <v>75</v>
      </c>
      <c r="F21">
        <v>16.600000000000001</v>
      </c>
      <c r="G21">
        <v>65.400001525878906</v>
      </c>
      <c r="H21"/>
      <c r="I21"/>
      <c r="J21"/>
      <c r="K21">
        <v>16.600000000000001</v>
      </c>
      <c r="L21">
        <v>65.400001525878906</v>
      </c>
      <c r="M21">
        <v>0.30000000000000071</v>
      </c>
      <c r="N21">
        <v>64.200000762939453</v>
      </c>
      <c r="O21">
        <v>19.260000228881836</v>
      </c>
      <c r="P21"/>
      <c r="Q21"/>
      <c r="R21"/>
      <c r="S21"/>
      <c r="T21"/>
    </row>
    <row r="22" spans="2:20" x14ac:dyDescent="0.55000000000000004">
      <c r="B22" s="196">
        <v>19.3</v>
      </c>
      <c r="C22" s="196">
        <v>88</v>
      </c>
      <c r="F22"/>
      <c r="G22" s="199" t="s">
        <v>774</v>
      </c>
      <c r="H22">
        <v>3.0000000000000018</v>
      </c>
      <c r="I22" s="199" t="s">
        <v>776</v>
      </c>
      <c r="J22">
        <v>128.80999755859375</v>
      </c>
      <c r="K22">
        <v>17.3</v>
      </c>
      <c r="L22">
        <v>71</v>
      </c>
      <c r="M22">
        <v>3.0000000000000018</v>
      </c>
      <c r="N22"/>
      <c r="O22">
        <v>128.80999755859375</v>
      </c>
      <c r="P22"/>
      <c r="Q22"/>
      <c r="R22"/>
      <c r="S22"/>
      <c r="T22"/>
    </row>
    <row r="23" spans="2:20" x14ac:dyDescent="0.55000000000000004">
      <c r="B23" s="196">
        <v>20.3</v>
      </c>
      <c r="C23" s="196">
        <v>107</v>
      </c>
      <c r="E23" s="198"/>
      <c r="F23"/>
      <c r="G23"/>
      <c r="H23"/>
      <c r="I23" s="199" t="s">
        <v>777</v>
      </c>
      <c r="J23">
        <v>42.936664581298828</v>
      </c>
      <c r="K23">
        <v>18.3</v>
      </c>
      <c r="L23">
        <v>75</v>
      </c>
      <c r="M23"/>
      <c r="N23"/>
      <c r="O23"/>
      <c r="P23"/>
      <c r="Q23"/>
      <c r="R23"/>
      <c r="S23"/>
      <c r="T23"/>
    </row>
    <row r="24" spans="2:20" x14ac:dyDescent="0.55000000000000004">
      <c r="F24"/>
      <c r="G24"/>
      <c r="H24"/>
      <c r="I24"/>
      <c r="J24"/>
      <c r="K24">
        <v>19.3</v>
      </c>
      <c r="L24">
        <v>88</v>
      </c>
      <c r="M24"/>
      <c r="N24"/>
      <c r="O24"/>
      <c r="P24"/>
      <c r="Q24"/>
      <c r="R24"/>
      <c r="S24"/>
      <c r="T24"/>
    </row>
    <row r="25" spans="2:20" x14ac:dyDescent="0.55000000000000004">
      <c r="F25"/>
      <c r="G25"/>
      <c r="H25"/>
      <c r="I25"/>
      <c r="J25"/>
      <c r="K25"/>
      <c r="L25">
        <v>0</v>
      </c>
      <c r="M25"/>
      <c r="N25"/>
      <c r="O25"/>
      <c r="P25"/>
      <c r="Q25"/>
      <c r="R25"/>
      <c r="S25"/>
      <c r="T25"/>
    </row>
    <row r="26" spans="2:20" x14ac:dyDescent="0.55000000000000004"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2:20" x14ac:dyDescent="0.55000000000000004"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2:20" x14ac:dyDescent="0.55000000000000004"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2:20" x14ac:dyDescent="0.55000000000000004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2:20" x14ac:dyDescent="0.55000000000000004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2:20" x14ac:dyDescent="0.55000000000000004"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2:20" x14ac:dyDescent="0.55000000000000004"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6:20" x14ac:dyDescent="0.55000000000000004"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6:20" x14ac:dyDescent="0.55000000000000004"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6:20" x14ac:dyDescent="0.55000000000000004"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6:20" x14ac:dyDescent="0.55000000000000004"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6:20" x14ac:dyDescent="0.55000000000000004"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6:20" x14ac:dyDescent="0.55000000000000004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6:20" x14ac:dyDescent="0.55000000000000004"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6:20" x14ac:dyDescent="0.55000000000000004"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6:20" x14ac:dyDescent="0.55000000000000004"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6:20" x14ac:dyDescent="0.55000000000000004"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6:20" x14ac:dyDescent="0.55000000000000004"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6:20" x14ac:dyDescent="0.55000000000000004"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6:20" x14ac:dyDescent="0.55000000000000004"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6:20" x14ac:dyDescent="0.55000000000000004"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6:20" x14ac:dyDescent="0.55000000000000004"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6:20" x14ac:dyDescent="0.55000000000000004"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6:20" x14ac:dyDescent="0.55000000000000004"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6:20" x14ac:dyDescent="0.55000000000000004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6:20" x14ac:dyDescent="0.55000000000000004">
      <c r="K51"/>
      <c r="L51"/>
      <c r="M51"/>
      <c r="N51"/>
      <c r="O51"/>
      <c r="P51"/>
      <c r="Q51"/>
      <c r="R51"/>
      <c r="S51"/>
      <c r="T51"/>
    </row>
    <row r="52" spans="6:20" x14ac:dyDescent="0.55000000000000004">
      <c r="K52"/>
      <c r="L52"/>
      <c r="M52"/>
      <c r="N52"/>
      <c r="O52"/>
      <c r="P52"/>
      <c r="Q52"/>
      <c r="R52"/>
      <c r="S52"/>
      <c r="T52"/>
    </row>
    <row r="53" spans="6:20" x14ac:dyDescent="0.55000000000000004">
      <c r="K53"/>
      <c r="L53"/>
      <c r="M53"/>
      <c r="N53"/>
      <c r="O53"/>
      <c r="P53"/>
      <c r="Q53"/>
      <c r="R53"/>
      <c r="S53"/>
      <c r="T53"/>
    </row>
    <row r="54" spans="6:20" x14ac:dyDescent="0.55000000000000004">
      <c r="K54"/>
      <c r="L54"/>
      <c r="M54"/>
      <c r="N54"/>
      <c r="O54"/>
      <c r="P54"/>
      <c r="Q54"/>
      <c r="R54"/>
      <c r="S54"/>
      <c r="T54"/>
    </row>
    <row r="55" spans="6:20" x14ac:dyDescent="0.55000000000000004">
      <c r="K55"/>
      <c r="L55"/>
      <c r="M55"/>
      <c r="N55"/>
      <c r="O55"/>
      <c r="P55"/>
      <c r="Q55"/>
      <c r="R55"/>
      <c r="S55"/>
      <c r="T55"/>
    </row>
    <row r="56" spans="6:20" x14ac:dyDescent="0.55000000000000004">
      <c r="K56"/>
      <c r="L56"/>
      <c r="M56"/>
      <c r="N56"/>
      <c r="O56"/>
      <c r="P56"/>
      <c r="Q56"/>
      <c r="R56"/>
      <c r="S56"/>
      <c r="T56"/>
    </row>
    <row r="57" spans="6:20" x14ac:dyDescent="0.55000000000000004">
      <c r="K57"/>
      <c r="L57"/>
      <c r="M57"/>
      <c r="N57"/>
      <c r="O57"/>
      <c r="P57"/>
      <c r="Q57"/>
      <c r="R57"/>
      <c r="S57"/>
      <c r="T57"/>
    </row>
    <row r="58" spans="6:20" x14ac:dyDescent="0.55000000000000004">
      <c r="K58"/>
      <c r="L58"/>
      <c r="M58"/>
      <c r="N58"/>
      <c r="O58"/>
      <c r="P58"/>
      <c r="Q58"/>
      <c r="R58"/>
      <c r="S58"/>
      <c r="T58"/>
    </row>
    <row r="59" spans="6:20" x14ac:dyDescent="0.55000000000000004">
      <c r="K59"/>
      <c r="L59"/>
      <c r="M59"/>
      <c r="N59"/>
      <c r="O59"/>
      <c r="P59"/>
      <c r="Q59"/>
      <c r="R59"/>
      <c r="S59"/>
      <c r="T59"/>
    </row>
    <row r="60" spans="6:20" x14ac:dyDescent="0.55000000000000004">
      <c r="K60"/>
      <c r="L60"/>
      <c r="M60"/>
      <c r="N60"/>
      <c r="O60"/>
      <c r="P60"/>
      <c r="Q60"/>
      <c r="R60"/>
      <c r="S60"/>
      <c r="T60"/>
    </row>
    <row r="61" spans="6:20" x14ac:dyDescent="0.55000000000000004">
      <c r="K61"/>
      <c r="L61"/>
      <c r="M61"/>
      <c r="N61"/>
      <c r="O61"/>
      <c r="P61"/>
      <c r="Q61"/>
      <c r="R61"/>
      <c r="S61"/>
      <c r="T61"/>
    </row>
    <row r="62" spans="6:20" x14ac:dyDescent="0.55000000000000004">
      <c r="K62"/>
      <c r="L62"/>
      <c r="M62"/>
      <c r="N62"/>
      <c r="O62"/>
      <c r="P62"/>
      <c r="Q62"/>
      <c r="R62"/>
      <c r="S62"/>
      <c r="T62"/>
    </row>
    <row r="63" spans="6:20" x14ac:dyDescent="0.55000000000000004">
      <c r="K63"/>
      <c r="L63"/>
      <c r="M63"/>
      <c r="N63"/>
      <c r="O63"/>
      <c r="P63"/>
      <c r="Q63"/>
      <c r="R63"/>
      <c r="S63"/>
      <c r="T63"/>
    </row>
    <row r="64" spans="6:20" x14ac:dyDescent="0.55000000000000004">
      <c r="K64"/>
      <c r="L64"/>
      <c r="M64"/>
      <c r="N64"/>
      <c r="O64"/>
      <c r="P64"/>
      <c r="Q64"/>
      <c r="R64"/>
      <c r="S64"/>
      <c r="T64"/>
    </row>
    <row r="65" spans="11:20" x14ac:dyDescent="0.55000000000000004">
      <c r="K65"/>
      <c r="L65"/>
      <c r="M65"/>
      <c r="N65"/>
      <c r="O65"/>
      <c r="P65"/>
      <c r="Q65"/>
      <c r="R65"/>
      <c r="S65"/>
      <c r="T65"/>
    </row>
    <row r="66" spans="11:20" x14ac:dyDescent="0.55000000000000004">
      <c r="K66"/>
      <c r="L66"/>
      <c r="M66"/>
      <c r="N66"/>
      <c r="O66"/>
      <c r="P66"/>
      <c r="Q66"/>
      <c r="R66"/>
      <c r="S66"/>
      <c r="T66"/>
    </row>
    <row r="67" spans="11:20" x14ac:dyDescent="0.55000000000000004">
      <c r="K67"/>
      <c r="L67"/>
      <c r="M67"/>
      <c r="N67"/>
      <c r="O67"/>
      <c r="P67"/>
      <c r="Q67"/>
      <c r="R67"/>
      <c r="S67"/>
      <c r="T67"/>
    </row>
    <row r="68" spans="11:20" x14ac:dyDescent="0.55000000000000004">
      <c r="K68"/>
      <c r="L68"/>
      <c r="M68"/>
      <c r="N68"/>
      <c r="O68"/>
      <c r="P68"/>
      <c r="Q68"/>
      <c r="R68"/>
      <c r="S68"/>
      <c r="T68"/>
    </row>
    <row r="69" spans="11:20" x14ac:dyDescent="0.55000000000000004">
      <c r="K69"/>
      <c r="L69"/>
      <c r="M69"/>
      <c r="N69"/>
      <c r="O69"/>
      <c r="P69"/>
      <c r="Q69"/>
      <c r="R69"/>
      <c r="S69"/>
      <c r="T69"/>
    </row>
    <row r="70" spans="11:20" x14ac:dyDescent="0.55000000000000004">
      <c r="K70"/>
      <c r="L70"/>
      <c r="M70"/>
      <c r="N70"/>
      <c r="O70"/>
      <c r="P70"/>
      <c r="Q70"/>
      <c r="R70"/>
      <c r="S70"/>
      <c r="T70"/>
    </row>
    <row r="71" spans="11:20" x14ac:dyDescent="0.55000000000000004">
      <c r="K71"/>
      <c r="L71"/>
      <c r="M71"/>
      <c r="N71"/>
      <c r="O71"/>
      <c r="P71"/>
      <c r="Q71"/>
      <c r="R71"/>
      <c r="S71"/>
      <c r="T71"/>
    </row>
    <row r="72" spans="11:20" x14ac:dyDescent="0.55000000000000004">
      <c r="K72"/>
      <c r="L72"/>
      <c r="M72"/>
      <c r="N72"/>
      <c r="O72"/>
      <c r="P72"/>
      <c r="Q72"/>
      <c r="R72"/>
      <c r="S72"/>
      <c r="T72"/>
    </row>
    <row r="73" spans="11:20" x14ac:dyDescent="0.55000000000000004">
      <c r="K73"/>
      <c r="L73"/>
      <c r="M73"/>
      <c r="N73"/>
      <c r="O73"/>
      <c r="P73"/>
      <c r="Q73"/>
      <c r="R73"/>
      <c r="S73"/>
      <c r="T73"/>
    </row>
    <row r="74" spans="11:20" x14ac:dyDescent="0.55000000000000004">
      <c r="K74"/>
      <c r="L74"/>
      <c r="M74"/>
      <c r="N74"/>
      <c r="O74"/>
      <c r="P74"/>
      <c r="Q74"/>
      <c r="R74"/>
      <c r="S74"/>
      <c r="T74"/>
    </row>
    <row r="75" spans="11:20" x14ac:dyDescent="0.55000000000000004">
      <c r="K75"/>
      <c r="L75"/>
      <c r="M75"/>
      <c r="N75"/>
      <c r="O75"/>
      <c r="P75"/>
      <c r="Q75"/>
      <c r="R75"/>
      <c r="S75"/>
      <c r="T75"/>
    </row>
    <row r="76" spans="11:20" x14ac:dyDescent="0.55000000000000004">
      <c r="K76"/>
      <c r="L76"/>
      <c r="M76"/>
      <c r="N76"/>
      <c r="O76"/>
      <c r="P76"/>
      <c r="Q76"/>
      <c r="R76"/>
      <c r="S76"/>
      <c r="T76"/>
    </row>
    <row r="77" spans="11:20" x14ac:dyDescent="0.55000000000000004">
      <c r="K77"/>
      <c r="L77"/>
      <c r="M77"/>
      <c r="N77"/>
      <c r="O77"/>
      <c r="P77"/>
      <c r="Q77"/>
      <c r="R77"/>
      <c r="S77"/>
      <c r="T77"/>
    </row>
    <row r="78" spans="11:20" x14ac:dyDescent="0.55000000000000004">
      <c r="K78"/>
      <c r="L78"/>
      <c r="M78"/>
      <c r="N78"/>
      <c r="O78"/>
      <c r="P78"/>
      <c r="Q78"/>
      <c r="R78"/>
      <c r="S78"/>
      <c r="T78"/>
    </row>
    <row r="79" spans="11:20" x14ac:dyDescent="0.55000000000000004">
      <c r="K79"/>
      <c r="L79"/>
      <c r="M79"/>
      <c r="N79"/>
      <c r="O79"/>
      <c r="P79"/>
      <c r="Q79"/>
      <c r="R79"/>
      <c r="S79"/>
      <c r="T79"/>
    </row>
    <row r="80" spans="11:20" x14ac:dyDescent="0.55000000000000004">
      <c r="K80"/>
      <c r="L80"/>
      <c r="M80"/>
      <c r="N80"/>
      <c r="O80"/>
      <c r="P80"/>
      <c r="Q80"/>
      <c r="R80"/>
      <c r="S80"/>
      <c r="T80"/>
    </row>
    <row r="81" spans="11:20" x14ac:dyDescent="0.55000000000000004">
      <c r="K81"/>
      <c r="L81"/>
      <c r="M81"/>
      <c r="N81"/>
      <c r="O81"/>
      <c r="P81"/>
      <c r="Q81"/>
      <c r="R81"/>
      <c r="S81"/>
      <c r="T81"/>
    </row>
    <row r="82" spans="11:20" x14ac:dyDescent="0.55000000000000004">
      <c r="K82"/>
      <c r="L82"/>
      <c r="M82"/>
      <c r="N82"/>
      <c r="O82"/>
      <c r="P82"/>
      <c r="Q82"/>
      <c r="R82"/>
      <c r="S82"/>
      <c r="T82"/>
    </row>
    <row r="83" spans="11:20" x14ac:dyDescent="0.55000000000000004">
      <c r="K83"/>
      <c r="L83"/>
      <c r="M83"/>
      <c r="N83"/>
      <c r="O83"/>
      <c r="P83"/>
      <c r="Q83"/>
      <c r="R83"/>
      <c r="S83"/>
      <c r="T83"/>
    </row>
    <row r="84" spans="11:20" x14ac:dyDescent="0.55000000000000004">
      <c r="K84"/>
      <c r="L84"/>
      <c r="M84"/>
      <c r="N84"/>
      <c r="O84"/>
      <c r="P84"/>
      <c r="Q84"/>
      <c r="R84"/>
      <c r="S84"/>
      <c r="T84"/>
    </row>
    <row r="85" spans="11:20" x14ac:dyDescent="0.55000000000000004">
      <c r="K85"/>
      <c r="L85"/>
      <c r="M85"/>
      <c r="N85"/>
      <c r="O85"/>
      <c r="P85"/>
      <c r="Q85"/>
      <c r="R85"/>
      <c r="S85"/>
      <c r="T85"/>
    </row>
    <row r="86" spans="11:20" x14ac:dyDescent="0.55000000000000004">
      <c r="K86"/>
      <c r="L86"/>
      <c r="M86"/>
      <c r="N86"/>
      <c r="O86"/>
      <c r="P86"/>
      <c r="Q86"/>
      <c r="R86"/>
      <c r="S86"/>
      <c r="T86"/>
    </row>
    <row r="87" spans="11:20" x14ac:dyDescent="0.55000000000000004">
      <c r="K87"/>
      <c r="L87"/>
      <c r="M87"/>
      <c r="N87"/>
      <c r="O87"/>
      <c r="P87"/>
      <c r="Q87"/>
      <c r="R87"/>
      <c r="S87"/>
      <c r="T87"/>
    </row>
    <row r="88" spans="11:20" x14ac:dyDescent="0.55000000000000004">
      <c r="K88"/>
      <c r="L88"/>
      <c r="M88"/>
      <c r="N88"/>
      <c r="O88"/>
      <c r="P88"/>
      <c r="Q88"/>
      <c r="R88"/>
      <c r="S88"/>
      <c r="T88"/>
    </row>
    <row r="89" spans="11:20" x14ac:dyDescent="0.55000000000000004">
      <c r="K89"/>
      <c r="L89"/>
      <c r="M89"/>
      <c r="N89"/>
      <c r="O89"/>
      <c r="P89"/>
      <c r="Q89"/>
      <c r="R89"/>
      <c r="S89"/>
      <c r="T89"/>
    </row>
    <row r="90" spans="11:20" x14ac:dyDescent="0.55000000000000004">
      <c r="K90"/>
      <c r="L90"/>
      <c r="M90"/>
      <c r="N90"/>
      <c r="O90"/>
      <c r="P90"/>
      <c r="Q90"/>
      <c r="R90"/>
      <c r="S90"/>
      <c r="T90"/>
    </row>
    <row r="91" spans="11:20" x14ac:dyDescent="0.55000000000000004">
      <c r="K91"/>
      <c r="L91"/>
      <c r="M91"/>
      <c r="N91"/>
      <c r="O91"/>
      <c r="P91"/>
      <c r="Q91"/>
      <c r="R91"/>
      <c r="S91"/>
      <c r="T91"/>
    </row>
    <row r="92" spans="11:20" x14ac:dyDescent="0.55000000000000004">
      <c r="K92"/>
      <c r="L92"/>
      <c r="M92"/>
      <c r="N92"/>
      <c r="O92"/>
      <c r="P92"/>
      <c r="Q92"/>
      <c r="R92"/>
      <c r="S92"/>
      <c r="T92"/>
    </row>
    <row r="93" spans="11:20" x14ac:dyDescent="0.55000000000000004">
      <c r="K93"/>
      <c r="L93"/>
      <c r="M93"/>
      <c r="N93"/>
      <c r="O93"/>
      <c r="P93"/>
      <c r="Q93"/>
      <c r="R93"/>
      <c r="S93"/>
      <c r="T93"/>
    </row>
    <row r="94" spans="11:20" x14ac:dyDescent="0.55000000000000004">
      <c r="K94"/>
      <c r="L94"/>
      <c r="M94"/>
      <c r="N94"/>
      <c r="O94"/>
      <c r="P94"/>
      <c r="Q94"/>
      <c r="R94"/>
      <c r="S94"/>
      <c r="T94"/>
    </row>
    <row r="95" spans="11:20" x14ac:dyDescent="0.55000000000000004">
      <c r="K95"/>
      <c r="L95"/>
      <c r="M95"/>
      <c r="N95"/>
      <c r="O95"/>
      <c r="P95"/>
      <c r="Q95"/>
      <c r="R95"/>
      <c r="S95"/>
      <c r="T95"/>
    </row>
    <row r="96" spans="11:20" x14ac:dyDescent="0.55000000000000004">
      <c r="K96"/>
      <c r="L96"/>
      <c r="M96"/>
      <c r="N96"/>
      <c r="O96"/>
      <c r="P96"/>
      <c r="Q96"/>
      <c r="R96"/>
      <c r="S96"/>
      <c r="T96"/>
    </row>
    <row r="97" spans="11:20" x14ac:dyDescent="0.55000000000000004">
      <c r="K97"/>
      <c r="L97"/>
      <c r="M97"/>
      <c r="N97"/>
      <c r="O97"/>
      <c r="P97"/>
      <c r="Q97"/>
      <c r="R97"/>
      <c r="S97"/>
      <c r="T97"/>
    </row>
    <row r="98" spans="11:20" x14ac:dyDescent="0.55000000000000004">
      <c r="K98"/>
      <c r="L98"/>
      <c r="M98"/>
      <c r="N98"/>
      <c r="O98"/>
      <c r="P98"/>
      <c r="Q98"/>
      <c r="R98"/>
      <c r="S98"/>
      <c r="T98"/>
    </row>
    <row r="99" spans="11:20" x14ac:dyDescent="0.55000000000000004">
      <c r="K99"/>
      <c r="L99"/>
      <c r="M99"/>
      <c r="N99"/>
      <c r="O99"/>
      <c r="P99"/>
      <c r="Q99"/>
      <c r="R99"/>
      <c r="S99"/>
      <c r="T99"/>
    </row>
    <row r="100" spans="11:20" x14ac:dyDescent="0.55000000000000004">
      <c r="K100"/>
      <c r="L100"/>
      <c r="M100"/>
      <c r="N100"/>
      <c r="O100"/>
      <c r="P100"/>
      <c r="Q100"/>
      <c r="R100"/>
      <c r="S100"/>
      <c r="T100"/>
    </row>
  </sheetData>
  <phoneticPr fontId="2"/>
  <pageMargins left="0.7" right="0.7" top="0.75" bottom="0.75" header="0.3" footer="0.3"/>
  <pageSetup paperSize="9" orientation="portrait" r:id="rId1"/>
  <headerFooter>
    <oddFooter>&amp;C&amp;1#&amp;"Calibri"&amp;10&amp;K000000Confidential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2D957-0C48-4899-BD2F-4751397E7621}">
  <sheetPr codeName="Sheet15"/>
  <dimension ref="A3:AF93"/>
  <sheetViews>
    <sheetView topLeftCell="D2" workbookViewId="0">
      <selection activeCell="T20" sqref="T20"/>
    </sheetView>
  </sheetViews>
  <sheetFormatPr defaultRowHeight="15" x14ac:dyDescent="0.3"/>
  <cols>
    <col min="1" max="1" width="16.15625" style="252" customWidth="1"/>
    <col min="2" max="10" width="7.62890625" style="200" customWidth="1"/>
    <col min="11" max="11" width="9.1015625" style="200" customWidth="1"/>
    <col min="12" max="12" width="9.89453125" style="200" customWidth="1"/>
    <col min="13" max="13" width="11.20703125" style="200" customWidth="1"/>
    <col min="14" max="14" width="7.62890625" style="200" customWidth="1"/>
    <col min="15" max="15" width="13.20703125" style="200" customWidth="1"/>
    <col min="16" max="16" width="7.62890625" style="200" customWidth="1"/>
    <col min="17" max="17" width="17.15625" style="200" customWidth="1"/>
    <col min="18" max="18" width="7.62890625" style="200" customWidth="1"/>
    <col min="19" max="19" width="17.7890625" style="200" customWidth="1"/>
    <col min="20" max="20" width="10.41796875" style="200" customWidth="1"/>
    <col min="21" max="25" width="14.1015625" style="200" customWidth="1"/>
    <col min="26" max="26" width="9.89453125" style="200" customWidth="1"/>
    <col min="27" max="29" width="7.62890625" style="200" customWidth="1"/>
    <col min="30" max="30" width="10.3125" style="200" customWidth="1"/>
    <col min="31" max="31" width="13.26171875" style="200" customWidth="1"/>
    <col min="32" max="16384" width="8.83984375" style="200"/>
  </cols>
  <sheetData>
    <row r="3" spans="1:32" x14ac:dyDescent="0.3">
      <c r="U3" s="200" t="s">
        <v>874</v>
      </c>
      <c r="V3" s="200">
        <v>85</v>
      </c>
    </row>
    <row r="4" spans="1:32" x14ac:dyDescent="0.3">
      <c r="V4" s="200" t="s">
        <v>880</v>
      </c>
      <c r="W4" s="200" t="s">
        <v>881</v>
      </c>
    </row>
    <row r="5" spans="1:32" x14ac:dyDescent="0.3">
      <c r="T5" s="200" t="s">
        <v>876</v>
      </c>
      <c r="U5" s="200" t="s">
        <v>875</v>
      </c>
      <c r="V5" s="200">
        <v>24</v>
      </c>
      <c r="W5" s="200">
        <v>48</v>
      </c>
    </row>
    <row r="6" spans="1:32" x14ac:dyDescent="0.3">
      <c r="Q6" s="200">
        <f>2/3*((B15/2)^3-(D15/2)^3)</f>
        <v>1764000</v>
      </c>
      <c r="U6" s="200" t="s">
        <v>878</v>
      </c>
      <c r="V6" s="200" t="s">
        <v>877</v>
      </c>
      <c r="W6" s="200" t="s">
        <v>882</v>
      </c>
    </row>
    <row r="7" spans="1:32" x14ac:dyDescent="0.3">
      <c r="U7" s="200" t="s">
        <v>879</v>
      </c>
      <c r="V7" s="200">
        <v>1.2</v>
      </c>
      <c r="W7" s="200">
        <v>1.8</v>
      </c>
      <c r="Z7" s="200">
        <f>Z15*1000*1000/U15</f>
        <v>5.9523809523809526</v>
      </c>
    </row>
    <row r="10" spans="1:32" x14ac:dyDescent="0.3">
      <c r="B10" s="252" t="s">
        <v>185</v>
      </c>
      <c r="C10" s="252" t="s">
        <v>801</v>
      </c>
      <c r="E10" s="200" t="s">
        <v>802</v>
      </c>
      <c r="F10" s="200" t="s">
        <v>856</v>
      </c>
      <c r="H10" s="200" t="s">
        <v>803</v>
      </c>
      <c r="I10" s="200" t="s">
        <v>804</v>
      </c>
      <c r="K10" s="200" t="s">
        <v>805</v>
      </c>
      <c r="M10" s="200" t="s">
        <v>806</v>
      </c>
      <c r="O10" s="200" t="s">
        <v>883</v>
      </c>
      <c r="Q10" s="252" t="s">
        <v>808</v>
      </c>
      <c r="R10" s="252"/>
      <c r="S10" s="252" t="s">
        <v>807</v>
      </c>
      <c r="U10" s="252" t="s">
        <v>809</v>
      </c>
      <c r="V10" s="252" t="s">
        <v>862</v>
      </c>
      <c r="W10" s="252" t="s">
        <v>863</v>
      </c>
      <c r="X10" s="252"/>
      <c r="Y10" s="252"/>
      <c r="Z10" s="252" t="s">
        <v>810</v>
      </c>
      <c r="AB10" s="200" t="s">
        <v>811</v>
      </c>
      <c r="AD10" s="200" t="s">
        <v>864</v>
      </c>
      <c r="AE10" s="200" t="s">
        <v>865</v>
      </c>
    </row>
    <row r="11" spans="1:32" x14ac:dyDescent="0.3">
      <c r="A11" s="253">
        <v>1</v>
      </c>
      <c r="B11" s="252">
        <v>2</v>
      </c>
      <c r="C11" s="252">
        <v>3</v>
      </c>
      <c r="D11" s="253">
        <v>4</v>
      </c>
      <c r="E11" s="253">
        <v>5</v>
      </c>
      <c r="F11" s="253">
        <v>6</v>
      </c>
      <c r="G11" s="253">
        <v>7</v>
      </c>
      <c r="H11" s="253">
        <v>8</v>
      </c>
      <c r="I11" s="253">
        <v>9</v>
      </c>
      <c r="J11" s="253">
        <v>10</v>
      </c>
      <c r="K11" s="253">
        <v>11</v>
      </c>
      <c r="L11" s="253">
        <v>12</v>
      </c>
      <c r="M11" s="253">
        <v>13</v>
      </c>
      <c r="N11" s="253">
        <v>14</v>
      </c>
      <c r="O11" s="253">
        <v>15</v>
      </c>
      <c r="P11" s="253">
        <v>16</v>
      </c>
      <c r="Q11" s="253">
        <v>17</v>
      </c>
      <c r="R11" s="253">
        <v>18</v>
      </c>
      <c r="S11" s="253">
        <v>19</v>
      </c>
      <c r="T11" s="253">
        <v>20</v>
      </c>
      <c r="U11" s="253">
        <v>21</v>
      </c>
      <c r="V11" s="253">
        <v>22</v>
      </c>
      <c r="W11" s="253">
        <v>23</v>
      </c>
      <c r="X11" s="253">
        <v>24</v>
      </c>
      <c r="Y11" s="253">
        <v>25</v>
      </c>
      <c r="Z11" s="253">
        <v>26</v>
      </c>
      <c r="AA11" s="253">
        <v>27</v>
      </c>
      <c r="AB11" s="253">
        <v>28</v>
      </c>
      <c r="AC11" s="253">
        <v>29</v>
      </c>
      <c r="AD11" s="253">
        <v>30</v>
      </c>
      <c r="AE11" s="253">
        <v>31</v>
      </c>
      <c r="AF11" s="477">
        <f>O15/(2*C15*Q15)</f>
        <v>4.2473273620340942E-5</v>
      </c>
    </row>
    <row r="12" spans="1:32" ht="16.5" customHeight="1" x14ac:dyDescent="0.3">
      <c r="B12" s="435" t="s">
        <v>779</v>
      </c>
      <c r="C12" s="435"/>
      <c r="D12" s="435"/>
      <c r="E12" s="435"/>
      <c r="F12" s="435"/>
      <c r="G12" s="435"/>
      <c r="H12" s="435"/>
      <c r="I12" s="435"/>
      <c r="J12" s="435"/>
      <c r="K12" s="435"/>
      <c r="L12" s="435"/>
      <c r="M12" s="435"/>
      <c r="N12" s="435"/>
      <c r="O12" s="435"/>
      <c r="P12" s="435"/>
      <c r="Q12" s="435"/>
      <c r="R12" s="435"/>
      <c r="S12" s="435"/>
      <c r="T12" s="435"/>
      <c r="U12" s="435"/>
      <c r="V12" s="435"/>
      <c r="W12" s="435"/>
      <c r="X12" s="435"/>
      <c r="Y12" s="435"/>
      <c r="Z12" s="435"/>
      <c r="AA12" s="435"/>
      <c r="AB12" s="435"/>
      <c r="AC12" s="435"/>
      <c r="AD12" s="435"/>
      <c r="AE12" s="435"/>
    </row>
    <row r="13" spans="1:32" ht="60.3" customHeight="1" x14ac:dyDescent="0.3">
      <c r="B13" s="304" t="s">
        <v>780</v>
      </c>
      <c r="C13" s="298" t="s">
        <v>781</v>
      </c>
      <c r="D13" s="299"/>
      <c r="E13" s="228" t="s">
        <v>782</v>
      </c>
      <c r="F13" s="229"/>
      <c r="G13" s="226" t="s">
        <v>783</v>
      </c>
      <c r="H13" s="306"/>
      <c r="I13" s="227"/>
      <c r="J13" s="226" t="s">
        <v>784</v>
      </c>
      <c r="K13" s="306"/>
      <c r="L13" s="227"/>
      <c r="M13" s="242"/>
      <c r="N13" s="298" t="s">
        <v>785</v>
      </c>
      <c r="O13" s="299"/>
      <c r="P13" s="226" t="s">
        <v>786</v>
      </c>
      <c r="Q13" s="306"/>
      <c r="R13" s="306"/>
      <c r="S13" s="227"/>
      <c r="T13" s="228" t="s">
        <v>855</v>
      </c>
      <c r="U13" s="299"/>
      <c r="V13" s="309" t="s">
        <v>860</v>
      </c>
      <c r="W13" s="309" t="s">
        <v>861</v>
      </c>
      <c r="X13" s="309" t="s">
        <v>857</v>
      </c>
      <c r="Y13" s="309"/>
      <c r="Z13" s="298" t="s">
        <v>788</v>
      </c>
      <c r="AA13" s="299"/>
      <c r="AB13" s="298" t="s">
        <v>789</v>
      </c>
      <c r="AC13" s="299"/>
    </row>
    <row r="14" spans="1:32" ht="48.55" customHeight="1" x14ac:dyDescent="0.3">
      <c r="B14" s="305"/>
      <c r="C14" s="300"/>
      <c r="D14" s="301"/>
      <c r="E14" s="230"/>
      <c r="F14" s="231"/>
      <c r="G14" s="302" t="s">
        <v>790</v>
      </c>
      <c r="H14" s="303"/>
      <c r="I14" s="201" t="s">
        <v>791</v>
      </c>
      <c r="J14" s="302" t="s">
        <v>792</v>
      </c>
      <c r="K14" s="303"/>
      <c r="L14" s="201" t="s">
        <v>793</v>
      </c>
      <c r="M14" s="243"/>
      <c r="N14" s="300"/>
      <c r="O14" s="301"/>
      <c r="P14" s="302" t="s">
        <v>794</v>
      </c>
      <c r="Q14" s="303"/>
      <c r="R14" s="302" t="s">
        <v>795</v>
      </c>
      <c r="S14" s="303"/>
      <c r="T14" s="300"/>
      <c r="U14" s="301"/>
      <c r="V14" s="310" t="s">
        <v>858</v>
      </c>
      <c r="W14" s="310" t="s">
        <v>858</v>
      </c>
      <c r="X14" s="310" t="s">
        <v>859</v>
      </c>
      <c r="Y14" s="310"/>
      <c r="Z14" s="300"/>
      <c r="AA14" s="301"/>
      <c r="AB14" s="300"/>
      <c r="AC14" s="301"/>
    </row>
    <row r="15" spans="1:32" ht="15.3" customHeight="1" x14ac:dyDescent="0.3">
      <c r="A15" s="252" t="s">
        <v>818</v>
      </c>
      <c r="B15" s="202">
        <v>300</v>
      </c>
      <c r="C15" s="203">
        <v>60</v>
      </c>
      <c r="D15" s="204">
        <f>B15-C15*2</f>
        <v>180</v>
      </c>
      <c r="E15" s="226" t="s">
        <v>5</v>
      </c>
      <c r="F15" s="227">
        <v>4</v>
      </c>
      <c r="G15" s="241">
        <v>2.31</v>
      </c>
      <c r="H15" s="237">
        <f>G15*100</f>
        <v>231</v>
      </c>
      <c r="I15" s="202">
        <v>120</v>
      </c>
      <c r="J15" s="203">
        <v>452</v>
      </c>
      <c r="K15" s="204">
        <f>J15*100</f>
        <v>45200</v>
      </c>
      <c r="L15" s="214">
        <v>462</v>
      </c>
      <c r="M15" s="244">
        <f>L15*100</f>
        <v>46200</v>
      </c>
      <c r="N15" s="203">
        <v>1764</v>
      </c>
      <c r="O15" s="246">
        <f>N15*1000</f>
        <v>1764000</v>
      </c>
      <c r="P15" s="205">
        <v>346.1</v>
      </c>
      <c r="Q15" s="246">
        <f>P15*1000000</f>
        <v>346100000</v>
      </c>
      <c r="R15" s="239">
        <v>352.7</v>
      </c>
      <c r="S15" s="247">
        <f>R15*1000000</f>
        <v>352700000</v>
      </c>
      <c r="T15" s="232">
        <v>2352</v>
      </c>
      <c r="U15" s="248">
        <f>T15*1000</f>
        <v>2352000</v>
      </c>
      <c r="V15" s="311">
        <v>1</v>
      </c>
      <c r="W15" s="311">
        <v>2</v>
      </c>
      <c r="X15" s="314">
        <f>(V15+F15)*U15/1000/1000</f>
        <v>11.76</v>
      </c>
      <c r="Y15" s="314">
        <f>(W15+F15)*U15/1000/1000</f>
        <v>14.112</v>
      </c>
      <c r="Z15" s="256">
        <v>14</v>
      </c>
      <c r="AA15" s="237"/>
      <c r="AB15" s="259">
        <v>76</v>
      </c>
      <c r="AC15" s="260"/>
      <c r="AD15" s="316">
        <f>V15+F15</f>
        <v>5</v>
      </c>
      <c r="AE15" s="316">
        <f>W15+F15</f>
        <v>6</v>
      </c>
    </row>
    <row r="16" spans="1:32" ht="15.3" customHeight="1" x14ac:dyDescent="0.3">
      <c r="A16" s="252" t="s">
        <v>824</v>
      </c>
      <c r="B16" s="202">
        <v>300</v>
      </c>
      <c r="C16" s="203">
        <v>60</v>
      </c>
      <c r="D16" s="206"/>
      <c r="E16" s="226" t="s">
        <v>8</v>
      </c>
      <c r="F16" s="227">
        <v>8</v>
      </c>
      <c r="G16" s="241">
        <v>4.4800000000000004</v>
      </c>
      <c r="H16" s="237">
        <f t="shared" ref="H16:H50" si="0">G16*100</f>
        <v>448.00000000000006</v>
      </c>
      <c r="I16" s="202">
        <v>120</v>
      </c>
      <c r="J16" s="203">
        <v>452</v>
      </c>
      <c r="K16" s="204">
        <f t="shared" ref="K16:K50" si="1">J16*100</f>
        <v>45200</v>
      </c>
      <c r="L16" s="214">
        <v>470</v>
      </c>
      <c r="M16" s="244">
        <f t="shared" ref="M16:M50" si="2">L16*100</f>
        <v>47000</v>
      </c>
      <c r="N16" s="203">
        <v>1764</v>
      </c>
      <c r="O16" s="246">
        <f t="shared" ref="O16:O50" si="3">N16*1000</f>
        <v>1764000</v>
      </c>
      <c r="P16" s="205">
        <v>346.1</v>
      </c>
      <c r="Q16" s="246">
        <f t="shared" ref="Q16:Q50" si="4">P16*1000000</f>
        <v>346100000</v>
      </c>
      <c r="R16" s="239">
        <v>359</v>
      </c>
      <c r="S16" s="247">
        <f t="shared" ref="S16:S50" si="5">R16*1000000</f>
        <v>359000000</v>
      </c>
      <c r="T16" s="232">
        <v>2393</v>
      </c>
      <c r="U16" s="248">
        <f t="shared" ref="U16:U50" si="6">T16*1000</f>
        <v>2393000</v>
      </c>
      <c r="V16" s="311">
        <v>2</v>
      </c>
      <c r="W16" s="311">
        <v>4</v>
      </c>
      <c r="X16" s="314">
        <f t="shared" ref="X16:X18" si="7">(V16+F16)*U16/1000/1000</f>
        <v>23.93</v>
      </c>
      <c r="Y16" s="314">
        <f t="shared" ref="Y16:Y18" si="8">(W16+F16)*U16/1000/1000</f>
        <v>28.716000000000001</v>
      </c>
      <c r="Z16" s="257">
        <v>29</v>
      </c>
      <c r="AA16" s="254"/>
      <c r="AB16" s="259">
        <v>99</v>
      </c>
      <c r="AC16" s="260"/>
      <c r="AD16" s="316">
        <f t="shared" ref="AD16:AD50" si="9">V16+F16</f>
        <v>10</v>
      </c>
      <c r="AE16" s="316">
        <f t="shared" ref="AE16:AE50" si="10">W16+F16</f>
        <v>12</v>
      </c>
      <c r="AF16" s="308"/>
    </row>
    <row r="17" spans="1:32" ht="15.3" customHeight="1" x14ac:dyDescent="0.3">
      <c r="A17" s="252" t="s">
        <v>825</v>
      </c>
      <c r="B17" s="202">
        <v>300</v>
      </c>
      <c r="C17" s="203">
        <v>60</v>
      </c>
      <c r="D17" s="207"/>
      <c r="E17" s="226" t="s">
        <v>347</v>
      </c>
      <c r="F17" s="227">
        <v>10</v>
      </c>
      <c r="G17" s="241">
        <v>6</v>
      </c>
      <c r="H17" s="237">
        <f t="shared" si="0"/>
        <v>600</v>
      </c>
      <c r="I17" s="202">
        <v>120</v>
      </c>
      <c r="J17" s="203">
        <v>452</v>
      </c>
      <c r="K17" s="204">
        <f t="shared" si="1"/>
        <v>45200</v>
      </c>
      <c r="L17" s="214">
        <v>476</v>
      </c>
      <c r="M17" s="244">
        <f t="shared" si="2"/>
        <v>47600</v>
      </c>
      <c r="N17" s="203">
        <v>1764</v>
      </c>
      <c r="O17" s="246">
        <f t="shared" si="3"/>
        <v>1764000</v>
      </c>
      <c r="P17" s="205">
        <v>346.1</v>
      </c>
      <c r="Q17" s="246">
        <f t="shared" si="4"/>
        <v>346100000</v>
      </c>
      <c r="R17" s="239">
        <v>363.4</v>
      </c>
      <c r="S17" s="247">
        <f t="shared" si="5"/>
        <v>363400000</v>
      </c>
      <c r="T17" s="232">
        <v>2422</v>
      </c>
      <c r="U17" s="248">
        <f t="shared" si="6"/>
        <v>2422000</v>
      </c>
      <c r="V17" s="314">
        <v>2.5</v>
      </c>
      <c r="W17" s="311">
        <v>5</v>
      </c>
      <c r="X17" s="314">
        <f t="shared" si="7"/>
        <v>30.274999999999999</v>
      </c>
      <c r="Y17" s="314">
        <f t="shared" si="8"/>
        <v>36.33</v>
      </c>
      <c r="Z17" s="257">
        <v>36</v>
      </c>
      <c r="AA17" s="254"/>
      <c r="AB17" s="259">
        <v>109</v>
      </c>
      <c r="AC17" s="260"/>
      <c r="AD17" s="316">
        <f t="shared" si="9"/>
        <v>12.5</v>
      </c>
      <c r="AE17" s="316">
        <f t="shared" si="10"/>
        <v>15</v>
      </c>
      <c r="AF17" s="308"/>
    </row>
    <row r="18" spans="1:32" ht="15.3" customHeight="1" x14ac:dyDescent="0.3">
      <c r="A18" s="252" t="s">
        <v>819</v>
      </c>
      <c r="B18" s="208">
        <v>350</v>
      </c>
      <c r="C18" s="209">
        <v>60</v>
      </c>
      <c r="D18" s="210"/>
      <c r="E18" s="224" t="s">
        <v>5</v>
      </c>
      <c r="F18" s="225">
        <v>4</v>
      </c>
      <c r="G18" s="240">
        <v>2.8</v>
      </c>
      <c r="H18" s="235">
        <f t="shared" si="0"/>
        <v>280</v>
      </c>
      <c r="I18" s="208">
        <v>145</v>
      </c>
      <c r="J18" s="209">
        <v>547</v>
      </c>
      <c r="K18" s="210">
        <f t="shared" si="1"/>
        <v>54700</v>
      </c>
      <c r="L18" s="215">
        <v>558</v>
      </c>
      <c r="M18" s="245">
        <f t="shared" si="2"/>
        <v>55800</v>
      </c>
      <c r="N18" s="209">
        <v>2559</v>
      </c>
      <c r="O18" s="249">
        <f t="shared" si="3"/>
        <v>2559000</v>
      </c>
      <c r="P18" s="211">
        <v>599.29999999999995</v>
      </c>
      <c r="Q18" s="249">
        <f t="shared" si="4"/>
        <v>599300000</v>
      </c>
      <c r="R18" s="238">
        <v>611</v>
      </c>
      <c r="S18" s="250">
        <f t="shared" si="5"/>
        <v>611000000</v>
      </c>
      <c r="T18" s="233">
        <v>3492</v>
      </c>
      <c r="U18" s="251">
        <f t="shared" si="6"/>
        <v>3492000</v>
      </c>
      <c r="V18" s="312">
        <v>1</v>
      </c>
      <c r="W18" s="312">
        <v>2</v>
      </c>
      <c r="X18" s="315">
        <f t="shared" si="7"/>
        <v>17.46</v>
      </c>
      <c r="Y18" s="315">
        <f t="shared" si="8"/>
        <v>20.952000000000002</v>
      </c>
      <c r="Z18" s="258">
        <v>21</v>
      </c>
      <c r="AA18" s="255"/>
      <c r="AB18" s="261">
        <v>91</v>
      </c>
      <c r="AC18" s="262"/>
      <c r="AD18" s="316">
        <f t="shared" si="9"/>
        <v>5</v>
      </c>
      <c r="AE18" s="316">
        <f t="shared" si="10"/>
        <v>6</v>
      </c>
    </row>
    <row r="19" spans="1:32" ht="15.3" customHeight="1" x14ac:dyDescent="0.3">
      <c r="A19" s="252" t="s">
        <v>822</v>
      </c>
      <c r="B19" s="208">
        <v>350</v>
      </c>
      <c r="C19" s="209">
        <v>60</v>
      </c>
      <c r="D19" s="212"/>
      <c r="E19" s="224" t="s">
        <v>8</v>
      </c>
      <c r="F19" s="225">
        <v>8</v>
      </c>
      <c r="G19" s="240">
        <v>5.12</v>
      </c>
      <c r="H19" s="235">
        <f t="shared" si="0"/>
        <v>512</v>
      </c>
      <c r="I19" s="208">
        <v>145</v>
      </c>
      <c r="J19" s="209">
        <v>547</v>
      </c>
      <c r="K19" s="210">
        <f t="shared" si="1"/>
        <v>54700</v>
      </c>
      <c r="L19" s="215">
        <v>567</v>
      </c>
      <c r="M19" s="245">
        <f t="shared" si="2"/>
        <v>56700</v>
      </c>
      <c r="N19" s="209">
        <v>2559</v>
      </c>
      <c r="O19" s="249">
        <f t="shared" si="3"/>
        <v>2559000</v>
      </c>
      <c r="P19" s="211">
        <v>599.29999999999995</v>
      </c>
      <c r="Q19" s="249">
        <f t="shared" si="4"/>
        <v>599300000</v>
      </c>
      <c r="R19" s="238">
        <v>620.79999999999995</v>
      </c>
      <c r="S19" s="250">
        <f t="shared" si="5"/>
        <v>620800000</v>
      </c>
      <c r="T19" s="233">
        <v>3547</v>
      </c>
      <c r="U19" s="251">
        <f t="shared" si="6"/>
        <v>3547000</v>
      </c>
      <c r="V19" s="312">
        <v>2</v>
      </c>
      <c r="W19" s="312">
        <v>4</v>
      </c>
      <c r="X19" s="315">
        <f t="shared" ref="X19:X50" si="11">(V19+F19)*U19/1000/1000</f>
        <v>35.47</v>
      </c>
      <c r="Y19" s="315">
        <f t="shared" ref="Y19:Y50" si="12">(W19+F19)*U19/1000/1000</f>
        <v>42.564</v>
      </c>
      <c r="Z19" s="258">
        <v>43</v>
      </c>
      <c r="AA19" s="255"/>
      <c r="AB19" s="261">
        <v>118</v>
      </c>
      <c r="AC19" s="262"/>
      <c r="AD19" s="316">
        <f t="shared" si="9"/>
        <v>10</v>
      </c>
      <c r="AE19" s="316">
        <f t="shared" si="10"/>
        <v>12</v>
      </c>
    </row>
    <row r="20" spans="1:32" ht="15.3" customHeight="1" x14ac:dyDescent="0.3">
      <c r="A20" s="252" t="s">
        <v>826</v>
      </c>
      <c r="B20" s="208">
        <v>350</v>
      </c>
      <c r="C20" s="209">
        <v>60</v>
      </c>
      <c r="D20" s="213"/>
      <c r="E20" s="224" t="s">
        <v>347</v>
      </c>
      <c r="F20" s="225">
        <v>10</v>
      </c>
      <c r="G20" s="240">
        <v>7.07</v>
      </c>
      <c r="H20" s="235">
        <f t="shared" si="0"/>
        <v>707</v>
      </c>
      <c r="I20" s="208">
        <v>145</v>
      </c>
      <c r="J20" s="209">
        <v>547</v>
      </c>
      <c r="K20" s="210">
        <f t="shared" si="1"/>
        <v>54700</v>
      </c>
      <c r="L20" s="215">
        <v>575</v>
      </c>
      <c r="M20" s="245">
        <f t="shared" si="2"/>
        <v>57500</v>
      </c>
      <c r="N20" s="209">
        <v>2559</v>
      </c>
      <c r="O20" s="249">
        <f t="shared" si="3"/>
        <v>2559000</v>
      </c>
      <c r="P20" s="211">
        <v>599.29999999999995</v>
      </c>
      <c r="Q20" s="249">
        <f t="shared" si="4"/>
        <v>599300000</v>
      </c>
      <c r="R20" s="238">
        <v>629</v>
      </c>
      <c r="S20" s="250">
        <f t="shared" si="5"/>
        <v>629000000</v>
      </c>
      <c r="T20" s="233">
        <v>3594</v>
      </c>
      <c r="U20" s="251">
        <f t="shared" si="6"/>
        <v>3594000</v>
      </c>
      <c r="V20" s="315">
        <v>2.5</v>
      </c>
      <c r="W20" s="312">
        <v>5</v>
      </c>
      <c r="X20" s="315">
        <f t="shared" si="11"/>
        <v>44.924999999999997</v>
      </c>
      <c r="Y20" s="315">
        <f t="shared" si="12"/>
        <v>53.91</v>
      </c>
      <c r="Z20" s="258">
        <v>54</v>
      </c>
      <c r="AA20" s="255"/>
      <c r="AB20" s="261">
        <v>130</v>
      </c>
      <c r="AC20" s="262"/>
      <c r="AD20" s="316">
        <f t="shared" si="9"/>
        <v>12.5</v>
      </c>
      <c r="AE20" s="316">
        <f t="shared" si="10"/>
        <v>15</v>
      </c>
    </row>
    <row r="21" spans="1:32" ht="15.3" customHeight="1" x14ac:dyDescent="0.3">
      <c r="A21" s="252" t="s">
        <v>827</v>
      </c>
      <c r="B21" s="202">
        <v>400</v>
      </c>
      <c r="C21" s="203">
        <v>65</v>
      </c>
      <c r="D21" s="204"/>
      <c r="E21" s="226" t="s">
        <v>5</v>
      </c>
      <c r="F21" s="227">
        <v>4</v>
      </c>
      <c r="G21" s="241">
        <v>3.85</v>
      </c>
      <c r="H21" s="237">
        <f t="shared" si="0"/>
        <v>385</v>
      </c>
      <c r="I21" s="202">
        <v>165</v>
      </c>
      <c r="J21" s="203">
        <v>684</v>
      </c>
      <c r="K21" s="204">
        <f t="shared" si="1"/>
        <v>68400</v>
      </c>
      <c r="L21" s="214">
        <v>699</v>
      </c>
      <c r="M21" s="244">
        <f t="shared" si="2"/>
        <v>69900</v>
      </c>
      <c r="N21" s="203">
        <v>3693</v>
      </c>
      <c r="O21" s="246">
        <f t="shared" si="3"/>
        <v>3693000</v>
      </c>
      <c r="P21" s="205">
        <v>995.8</v>
      </c>
      <c r="Q21" s="246">
        <f t="shared" si="4"/>
        <v>995800000</v>
      </c>
      <c r="R21" s="236">
        <v>1017</v>
      </c>
      <c r="S21" s="247">
        <f t="shared" si="5"/>
        <v>1017000000</v>
      </c>
      <c r="T21" s="232">
        <v>5084</v>
      </c>
      <c r="U21" s="248">
        <f t="shared" si="6"/>
        <v>5084000</v>
      </c>
      <c r="V21" s="311">
        <v>1</v>
      </c>
      <c r="W21" s="311">
        <v>2</v>
      </c>
      <c r="X21" s="314">
        <f t="shared" si="11"/>
        <v>25.42</v>
      </c>
      <c r="Y21" s="314">
        <f t="shared" si="12"/>
        <v>30.504000000000001</v>
      </c>
      <c r="Z21" s="257">
        <v>31</v>
      </c>
      <c r="AA21" s="254"/>
      <c r="AB21" s="259">
        <v>113</v>
      </c>
      <c r="AC21" s="260"/>
      <c r="AD21" s="316">
        <f t="shared" si="9"/>
        <v>5</v>
      </c>
      <c r="AE21" s="316">
        <f t="shared" si="10"/>
        <v>6</v>
      </c>
    </row>
    <row r="22" spans="1:32" ht="15.3" customHeight="1" x14ac:dyDescent="0.3">
      <c r="A22" s="252" t="s">
        <v>828</v>
      </c>
      <c r="B22" s="202">
        <v>400</v>
      </c>
      <c r="C22" s="203">
        <v>65</v>
      </c>
      <c r="D22" s="206"/>
      <c r="E22" s="226" t="s">
        <v>8</v>
      </c>
      <c r="F22" s="227">
        <v>8</v>
      </c>
      <c r="G22" s="241">
        <v>6.4</v>
      </c>
      <c r="H22" s="237">
        <f t="shared" si="0"/>
        <v>640</v>
      </c>
      <c r="I22" s="202">
        <v>165</v>
      </c>
      <c r="J22" s="203">
        <v>684</v>
      </c>
      <c r="K22" s="204">
        <f t="shared" si="1"/>
        <v>68400</v>
      </c>
      <c r="L22" s="214">
        <v>710</v>
      </c>
      <c r="M22" s="244">
        <f t="shared" si="2"/>
        <v>71000</v>
      </c>
      <c r="N22" s="203">
        <v>3693</v>
      </c>
      <c r="O22" s="246">
        <f t="shared" si="3"/>
        <v>3693000</v>
      </c>
      <c r="P22" s="205">
        <v>995.8</v>
      </c>
      <c r="Q22" s="246">
        <f t="shared" si="4"/>
        <v>995800000</v>
      </c>
      <c r="R22" s="236">
        <v>1031</v>
      </c>
      <c r="S22" s="247">
        <f t="shared" si="5"/>
        <v>1031000000</v>
      </c>
      <c r="T22" s="232">
        <v>5153</v>
      </c>
      <c r="U22" s="248">
        <f t="shared" si="6"/>
        <v>5153000</v>
      </c>
      <c r="V22" s="311">
        <v>2</v>
      </c>
      <c r="W22" s="311">
        <v>4</v>
      </c>
      <c r="X22" s="314">
        <f t="shared" si="11"/>
        <v>51.53</v>
      </c>
      <c r="Y22" s="314">
        <f t="shared" si="12"/>
        <v>61.835999999999999</v>
      </c>
      <c r="Z22" s="257">
        <v>62</v>
      </c>
      <c r="AA22" s="254"/>
      <c r="AB22" s="259">
        <v>147</v>
      </c>
      <c r="AC22" s="260"/>
      <c r="AD22" s="316">
        <f t="shared" si="9"/>
        <v>10</v>
      </c>
      <c r="AE22" s="316">
        <f t="shared" si="10"/>
        <v>12</v>
      </c>
    </row>
    <row r="23" spans="1:32" ht="15.3" customHeight="1" x14ac:dyDescent="0.3">
      <c r="A23" s="252" t="s">
        <v>829</v>
      </c>
      <c r="B23" s="202">
        <v>400</v>
      </c>
      <c r="C23" s="203">
        <v>65</v>
      </c>
      <c r="D23" s="207"/>
      <c r="E23" s="226" t="s">
        <v>347</v>
      </c>
      <c r="F23" s="227">
        <v>10</v>
      </c>
      <c r="G23" s="241">
        <v>9</v>
      </c>
      <c r="H23" s="237">
        <f t="shared" si="0"/>
        <v>900</v>
      </c>
      <c r="I23" s="202">
        <v>165</v>
      </c>
      <c r="J23" s="203">
        <v>684</v>
      </c>
      <c r="K23" s="204">
        <f t="shared" si="1"/>
        <v>68400</v>
      </c>
      <c r="L23" s="214">
        <v>720</v>
      </c>
      <c r="M23" s="244">
        <f t="shared" si="2"/>
        <v>72000</v>
      </c>
      <c r="N23" s="203">
        <v>3693</v>
      </c>
      <c r="O23" s="246">
        <f t="shared" si="3"/>
        <v>3693000</v>
      </c>
      <c r="P23" s="205">
        <v>995.8</v>
      </c>
      <c r="Q23" s="246">
        <f t="shared" si="4"/>
        <v>995800000</v>
      </c>
      <c r="R23" s="236">
        <v>1045</v>
      </c>
      <c r="S23" s="247">
        <f t="shared" si="5"/>
        <v>1045000000</v>
      </c>
      <c r="T23" s="232">
        <v>5224</v>
      </c>
      <c r="U23" s="248">
        <f t="shared" si="6"/>
        <v>5224000</v>
      </c>
      <c r="V23" s="314">
        <v>2.5</v>
      </c>
      <c r="W23" s="311">
        <v>5</v>
      </c>
      <c r="X23" s="314">
        <f t="shared" si="11"/>
        <v>65.3</v>
      </c>
      <c r="Y23" s="314">
        <f t="shared" si="12"/>
        <v>78.36</v>
      </c>
      <c r="Z23" s="257">
        <v>78</v>
      </c>
      <c r="AA23" s="254"/>
      <c r="AB23" s="259">
        <v>162</v>
      </c>
      <c r="AC23" s="260"/>
      <c r="AD23" s="316">
        <f t="shared" si="9"/>
        <v>12.5</v>
      </c>
      <c r="AE23" s="316">
        <f t="shared" si="10"/>
        <v>15</v>
      </c>
    </row>
    <row r="24" spans="1:32" ht="15.3" customHeight="1" x14ac:dyDescent="0.3">
      <c r="A24" s="252" t="s">
        <v>830</v>
      </c>
      <c r="B24" s="208">
        <v>450</v>
      </c>
      <c r="C24" s="209">
        <v>70</v>
      </c>
      <c r="D24" s="210"/>
      <c r="E24" s="224" t="s">
        <v>5</v>
      </c>
      <c r="F24" s="225">
        <v>4</v>
      </c>
      <c r="G24" s="240">
        <v>4.4800000000000004</v>
      </c>
      <c r="H24" s="235">
        <f t="shared" si="0"/>
        <v>448.00000000000006</v>
      </c>
      <c r="I24" s="208">
        <v>190</v>
      </c>
      <c r="J24" s="209">
        <v>836</v>
      </c>
      <c r="K24" s="210">
        <f t="shared" si="1"/>
        <v>83600</v>
      </c>
      <c r="L24" s="215">
        <v>854</v>
      </c>
      <c r="M24" s="245">
        <f t="shared" si="2"/>
        <v>85400</v>
      </c>
      <c r="N24" s="209">
        <v>5111</v>
      </c>
      <c r="O24" s="249">
        <f t="shared" si="3"/>
        <v>5111000</v>
      </c>
      <c r="P24" s="209">
        <v>1560</v>
      </c>
      <c r="Q24" s="249">
        <f t="shared" si="4"/>
        <v>1560000000</v>
      </c>
      <c r="R24" s="234">
        <v>1592</v>
      </c>
      <c r="S24" s="250">
        <f t="shared" si="5"/>
        <v>1592000000</v>
      </c>
      <c r="T24" s="233">
        <v>7075</v>
      </c>
      <c r="U24" s="251">
        <f t="shared" si="6"/>
        <v>7075000</v>
      </c>
      <c r="V24" s="312">
        <v>1</v>
      </c>
      <c r="W24" s="312">
        <v>2</v>
      </c>
      <c r="X24" s="315">
        <f t="shared" si="11"/>
        <v>35.375</v>
      </c>
      <c r="Y24" s="315">
        <f t="shared" si="12"/>
        <v>42.45</v>
      </c>
      <c r="Z24" s="258">
        <v>42</v>
      </c>
      <c r="AA24" s="255"/>
      <c r="AB24" s="261">
        <v>138</v>
      </c>
      <c r="AC24" s="262"/>
      <c r="AD24" s="316">
        <f t="shared" si="9"/>
        <v>5</v>
      </c>
      <c r="AE24" s="316">
        <f t="shared" si="10"/>
        <v>6</v>
      </c>
    </row>
    <row r="25" spans="1:32" ht="15.3" customHeight="1" x14ac:dyDescent="0.3">
      <c r="A25" s="252" t="s">
        <v>831</v>
      </c>
      <c r="B25" s="208">
        <v>450</v>
      </c>
      <c r="C25" s="209">
        <v>70</v>
      </c>
      <c r="D25" s="212"/>
      <c r="E25" s="224" t="s">
        <v>8</v>
      </c>
      <c r="F25" s="225">
        <v>8</v>
      </c>
      <c r="G25" s="240">
        <v>8.9600000000000009</v>
      </c>
      <c r="H25" s="235">
        <f t="shared" si="0"/>
        <v>896.00000000000011</v>
      </c>
      <c r="I25" s="208">
        <v>190</v>
      </c>
      <c r="J25" s="209">
        <v>836</v>
      </c>
      <c r="K25" s="210">
        <f t="shared" si="1"/>
        <v>83600</v>
      </c>
      <c r="L25" s="215">
        <v>872</v>
      </c>
      <c r="M25" s="245">
        <f t="shared" si="2"/>
        <v>87200</v>
      </c>
      <c r="N25" s="209">
        <v>5111</v>
      </c>
      <c r="O25" s="249">
        <f t="shared" si="3"/>
        <v>5111000</v>
      </c>
      <c r="P25" s="209">
        <v>1560</v>
      </c>
      <c r="Q25" s="249">
        <f t="shared" si="4"/>
        <v>1560000000</v>
      </c>
      <c r="R25" s="234">
        <v>1624</v>
      </c>
      <c r="S25" s="250">
        <f t="shared" si="5"/>
        <v>1624000000</v>
      </c>
      <c r="T25" s="233">
        <v>7219</v>
      </c>
      <c r="U25" s="251">
        <f t="shared" si="6"/>
        <v>7219000</v>
      </c>
      <c r="V25" s="312">
        <v>2</v>
      </c>
      <c r="W25" s="312">
        <v>4</v>
      </c>
      <c r="X25" s="315">
        <f t="shared" si="11"/>
        <v>72.19</v>
      </c>
      <c r="Y25" s="315">
        <f t="shared" si="12"/>
        <v>86.628</v>
      </c>
      <c r="Z25" s="258">
        <v>87</v>
      </c>
      <c r="AA25" s="255"/>
      <c r="AB25" s="261">
        <v>179</v>
      </c>
      <c r="AC25" s="262"/>
      <c r="AD25" s="316">
        <f t="shared" si="9"/>
        <v>10</v>
      </c>
      <c r="AE25" s="316">
        <f t="shared" si="10"/>
        <v>12</v>
      </c>
    </row>
    <row r="26" spans="1:32" ht="15.3" customHeight="1" x14ac:dyDescent="0.3">
      <c r="A26" s="252" t="s">
        <v>832</v>
      </c>
      <c r="B26" s="208">
        <v>450</v>
      </c>
      <c r="C26" s="209">
        <v>70</v>
      </c>
      <c r="D26" s="213"/>
      <c r="E26" s="224" t="s">
        <v>347</v>
      </c>
      <c r="F26" s="225">
        <v>10</v>
      </c>
      <c r="G26" s="240">
        <v>10.99</v>
      </c>
      <c r="H26" s="235">
        <f t="shared" si="0"/>
        <v>1099</v>
      </c>
      <c r="I26" s="208">
        <v>190</v>
      </c>
      <c r="J26" s="209">
        <v>836</v>
      </c>
      <c r="K26" s="210">
        <f t="shared" si="1"/>
        <v>83600</v>
      </c>
      <c r="L26" s="215">
        <v>880</v>
      </c>
      <c r="M26" s="245">
        <f t="shared" si="2"/>
        <v>88000</v>
      </c>
      <c r="N26" s="209">
        <v>5111</v>
      </c>
      <c r="O26" s="249">
        <f t="shared" si="3"/>
        <v>5111000</v>
      </c>
      <c r="P26" s="209">
        <v>1560</v>
      </c>
      <c r="Q26" s="249">
        <f t="shared" si="4"/>
        <v>1560000000</v>
      </c>
      <c r="R26" s="234">
        <v>1639</v>
      </c>
      <c r="S26" s="250">
        <f t="shared" si="5"/>
        <v>1639000000</v>
      </c>
      <c r="T26" s="233">
        <v>7284</v>
      </c>
      <c r="U26" s="251">
        <f t="shared" si="6"/>
        <v>7284000</v>
      </c>
      <c r="V26" s="315">
        <v>2.5</v>
      </c>
      <c r="W26" s="312">
        <v>5</v>
      </c>
      <c r="X26" s="315">
        <f t="shared" si="11"/>
        <v>91.05</v>
      </c>
      <c r="Y26" s="315">
        <f t="shared" si="12"/>
        <v>109.26</v>
      </c>
      <c r="Z26" s="258">
        <v>109</v>
      </c>
      <c r="AA26" s="255"/>
      <c r="AB26" s="261">
        <v>197</v>
      </c>
      <c r="AC26" s="262"/>
      <c r="AD26" s="316">
        <f t="shared" si="9"/>
        <v>12.5</v>
      </c>
      <c r="AE26" s="316">
        <f t="shared" si="10"/>
        <v>15</v>
      </c>
    </row>
    <row r="27" spans="1:32" ht="15.3" customHeight="1" x14ac:dyDescent="0.3">
      <c r="A27" s="252" t="s">
        <v>833</v>
      </c>
      <c r="B27" s="202">
        <v>500</v>
      </c>
      <c r="C27" s="203">
        <v>80</v>
      </c>
      <c r="D27" s="204"/>
      <c r="E27" s="226" t="s">
        <v>5</v>
      </c>
      <c r="F27" s="227">
        <v>4</v>
      </c>
      <c r="G27" s="241">
        <v>5.12</v>
      </c>
      <c r="H27" s="237">
        <f t="shared" si="0"/>
        <v>512</v>
      </c>
      <c r="I27" s="202">
        <v>215</v>
      </c>
      <c r="J27" s="203">
        <v>1056</v>
      </c>
      <c r="K27" s="204">
        <f t="shared" si="1"/>
        <v>105600</v>
      </c>
      <c r="L27" s="214">
        <v>1076</v>
      </c>
      <c r="M27" s="244">
        <f t="shared" si="2"/>
        <v>107600</v>
      </c>
      <c r="N27" s="203">
        <v>7141</v>
      </c>
      <c r="O27" s="246">
        <f t="shared" si="3"/>
        <v>7141000</v>
      </c>
      <c r="P27" s="203">
        <v>2412</v>
      </c>
      <c r="Q27" s="246">
        <f t="shared" si="4"/>
        <v>2412000000</v>
      </c>
      <c r="R27" s="236">
        <v>2459</v>
      </c>
      <c r="S27" s="247">
        <f t="shared" si="5"/>
        <v>2459000000</v>
      </c>
      <c r="T27" s="232">
        <v>9837</v>
      </c>
      <c r="U27" s="248">
        <f t="shared" si="6"/>
        <v>9837000</v>
      </c>
      <c r="V27" s="311">
        <v>1</v>
      </c>
      <c r="W27" s="311">
        <v>2</v>
      </c>
      <c r="X27" s="314">
        <f t="shared" si="11"/>
        <v>49.185000000000002</v>
      </c>
      <c r="Y27" s="314">
        <f t="shared" si="12"/>
        <v>59.021999999999998</v>
      </c>
      <c r="Z27" s="257">
        <v>59</v>
      </c>
      <c r="AA27" s="254"/>
      <c r="AB27" s="259">
        <v>175</v>
      </c>
      <c r="AC27" s="260"/>
      <c r="AD27" s="316">
        <f t="shared" si="9"/>
        <v>5</v>
      </c>
      <c r="AE27" s="316">
        <f t="shared" si="10"/>
        <v>6</v>
      </c>
    </row>
    <row r="28" spans="1:32" ht="15.3" customHeight="1" x14ac:dyDescent="0.3">
      <c r="A28" s="252" t="s">
        <v>834</v>
      </c>
      <c r="B28" s="202">
        <v>500</v>
      </c>
      <c r="C28" s="203">
        <v>80</v>
      </c>
      <c r="D28" s="206"/>
      <c r="E28" s="226" t="s">
        <v>8</v>
      </c>
      <c r="F28" s="227">
        <v>8</v>
      </c>
      <c r="G28" s="241">
        <v>10.24</v>
      </c>
      <c r="H28" s="237">
        <f t="shared" si="0"/>
        <v>1024</v>
      </c>
      <c r="I28" s="202">
        <v>215</v>
      </c>
      <c r="J28" s="203">
        <v>1056</v>
      </c>
      <c r="K28" s="204">
        <f t="shared" si="1"/>
        <v>105600</v>
      </c>
      <c r="L28" s="214">
        <v>1097</v>
      </c>
      <c r="M28" s="244">
        <f t="shared" si="2"/>
        <v>109700</v>
      </c>
      <c r="N28" s="203">
        <v>7141</v>
      </c>
      <c r="O28" s="246">
        <f t="shared" si="3"/>
        <v>7141000</v>
      </c>
      <c r="P28" s="203">
        <v>2412</v>
      </c>
      <c r="Q28" s="246">
        <f t="shared" si="4"/>
        <v>2412000000</v>
      </c>
      <c r="R28" s="236">
        <v>2507</v>
      </c>
      <c r="S28" s="247">
        <f t="shared" si="5"/>
        <v>2507000000</v>
      </c>
      <c r="T28" s="232">
        <v>10030</v>
      </c>
      <c r="U28" s="248">
        <f t="shared" si="6"/>
        <v>10030000</v>
      </c>
      <c r="V28" s="311">
        <v>2</v>
      </c>
      <c r="W28" s="311">
        <v>4</v>
      </c>
      <c r="X28" s="314">
        <f t="shared" si="11"/>
        <v>100.3</v>
      </c>
      <c r="Y28" s="314">
        <f t="shared" si="12"/>
        <v>120.36</v>
      </c>
      <c r="Z28" s="257">
        <v>120</v>
      </c>
      <c r="AA28" s="254"/>
      <c r="AB28" s="259">
        <v>227</v>
      </c>
      <c r="AC28" s="260"/>
      <c r="AD28" s="316">
        <f t="shared" si="9"/>
        <v>10</v>
      </c>
      <c r="AE28" s="316">
        <f t="shared" si="10"/>
        <v>12</v>
      </c>
    </row>
    <row r="29" spans="1:32" ht="15.3" customHeight="1" x14ac:dyDescent="0.3">
      <c r="A29" s="252" t="s">
        <v>835</v>
      </c>
      <c r="B29" s="202">
        <v>500</v>
      </c>
      <c r="C29" s="203">
        <v>80</v>
      </c>
      <c r="D29" s="207"/>
      <c r="E29" s="226" t="s">
        <v>347</v>
      </c>
      <c r="F29" s="227">
        <v>10</v>
      </c>
      <c r="G29" s="241">
        <v>14</v>
      </c>
      <c r="H29" s="237">
        <f t="shared" si="0"/>
        <v>1400</v>
      </c>
      <c r="I29" s="202">
        <v>215</v>
      </c>
      <c r="J29" s="203">
        <v>1056</v>
      </c>
      <c r="K29" s="204">
        <f t="shared" si="1"/>
        <v>105600</v>
      </c>
      <c r="L29" s="214">
        <v>1112</v>
      </c>
      <c r="M29" s="244">
        <f t="shared" si="2"/>
        <v>111200</v>
      </c>
      <c r="N29" s="203">
        <v>7141</v>
      </c>
      <c r="O29" s="246">
        <f t="shared" si="3"/>
        <v>7141000</v>
      </c>
      <c r="P29" s="203">
        <v>2412</v>
      </c>
      <c r="Q29" s="246">
        <f t="shared" si="4"/>
        <v>2412000000</v>
      </c>
      <c r="R29" s="236">
        <v>2541</v>
      </c>
      <c r="S29" s="247">
        <f t="shared" si="5"/>
        <v>2541000000</v>
      </c>
      <c r="T29" s="232">
        <v>10170</v>
      </c>
      <c r="U29" s="248">
        <f t="shared" si="6"/>
        <v>10170000</v>
      </c>
      <c r="V29" s="314">
        <v>2.5</v>
      </c>
      <c r="W29" s="311">
        <v>5</v>
      </c>
      <c r="X29" s="314">
        <f t="shared" si="11"/>
        <v>127.125</v>
      </c>
      <c r="Y29" s="314">
        <f t="shared" si="12"/>
        <v>152.55000000000001</v>
      </c>
      <c r="Z29" s="257">
        <v>152</v>
      </c>
      <c r="AA29" s="254"/>
      <c r="AB29" s="259">
        <v>249</v>
      </c>
      <c r="AC29" s="260"/>
      <c r="AD29" s="316">
        <f t="shared" si="9"/>
        <v>12.5</v>
      </c>
      <c r="AE29" s="316">
        <f t="shared" si="10"/>
        <v>15</v>
      </c>
    </row>
    <row r="30" spans="1:32" ht="15.3" customHeight="1" x14ac:dyDescent="0.3">
      <c r="A30" s="252" t="s">
        <v>821</v>
      </c>
      <c r="B30" s="208">
        <v>600</v>
      </c>
      <c r="C30" s="209">
        <v>90</v>
      </c>
      <c r="D30" s="210"/>
      <c r="E30" s="224" t="s">
        <v>5</v>
      </c>
      <c r="F30" s="225">
        <v>4</v>
      </c>
      <c r="G30" s="240">
        <v>6.93</v>
      </c>
      <c r="H30" s="235">
        <f t="shared" si="0"/>
        <v>693</v>
      </c>
      <c r="I30" s="208">
        <v>260</v>
      </c>
      <c r="J30" s="209">
        <v>1442</v>
      </c>
      <c r="K30" s="210">
        <f t="shared" si="1"/>
        <v>144200</v>
      </c>
      <c r="L30" s="215">
        <v>1470</v>
      </c>
      <c r="M30" s="245">
        <f t="shared" si="2"/>
        <v>147000</v>
      </c>
      <c r="N30" s="209">
        <v>11830</v>
      </c>
      <c r="O30" s="249">
        <f t="shared" si="3"/>
        <v>11830000</v>
      </c>
      <c r="P30" s="209">
        <v>4834</v>
      </c>
      <c r="Q30" s="249">
        <f t="shared" si="4"/>
        <v>4834000000</v>
      </c>
      <c r="R30" s="234">
        <v>4928</v>
      </c>
      <c r="S30" s="250">
        <f t="shared" si="5"/>
        <v>4928000000</v>
      </c>
      <c r="T30" s="233">
        <v>16430</v>
      </c>
      <c r="U30" s="251">
        <f t="shared" si="6"/>
        <v>16430000</v>
      </c>
      <c r="V30" s="312">
        <v>1</v>
      </c>
      <c r="W30" s="312">
        <v>2</v>
      </c>
      <c r="X30" s="315">
        <f t="shared" si="11"/>
        <v>82.15</v>
      </c>
      <c r="Y30" s="315">
        <f t="shared" si="12"/>
        <v>98.58</v>
      </c>
      <c r="Z30" s="258">
        <v>99</v>
      </c>
      <c r="AA30" s="255"/>
      <c r="AB30" s="261">
        <v>238</v>
      </c>
      <c r="AC30" s="262"/>
      <c r="AD30" s="316">
        <f t="shared" si="9"/>
        <v>5</v>
      </c>
      <c r="AE30" s="316">
        <f t="shared" si="10"/>
        <v>6</v>
      </c>
    </row>
    <row r="31" spans="1:32" ht="15.3" customHeight="1" x14ac:dyDescent="0.3">
      <c r="A31" s="252" t="s">
        <v>820</v>
      </c>
      <c r="B31" s="208">
        <v>600</v>
      </c>
      <c r="C31" s="209">
        <v>90</v>
      </c>
      <c r="D31" s="212"/>
      <c r="E31" s="224" t="s">
        <v>8</v>
      </c>
      <c r="F31" s="225">
        <v>8</v>
      </c>
      <c r="G31" s="240">
        <v>14.08</v>
      </c>
      <c r="H31" s="235">
        <f t="shared" si="0"/>
        <v>1408</v>
      </c>
      <c r="I31" s="208">
        <v>260</v>
      </c>
      <c r="J31" s="209">
        <v>1442</v>
      </c>
      <c r="K31" s="210">
        <f t="shared" si="1"/>
        <v>144200</v>
      </c>
      <c r="L31" s="215">
        <v>1498</v>
      </c>
      <c r="M31" s="245">
        <f t="shared" si="2"/>
        <v>149800</v>
      </c>
      <c r="N31" s="209">
        <v>11830</v>
      </c>
      <c r="O31" s="249">
        <f t="shared" si="3"/>
        <v>11830000</v>
      </c>
      <c r="P31" s="209">
        <v>4834</v>
      </c>
      <c r="Q31" s="249">
        <f t="shared" si="4"/>
        <v>4834000000</v>
      </c>
      <c r="R31" s="234">
        <v>5025</v>
      </c>
      <c r="S31" s="250">
        <f t="shared" si="5"/>
        <v>5025000000</v>
      </c>
      <c r="T31" s="233">
        <v>16750</v>
      </c>
      <c r="U31" s="251">
        <f t="shared" si="6"/>
        <v>16750000</v>
      </c>
      <c r="V31" s="312">
        <v>2</v>
      </c>
      <c r="W31" s="312">
        <v>4</v>
      </c>
      <c r="X31" s="315">
        <f t="shared" si="11"/>
        <v>167.5</v>
      </c>
      <c r="Y31" s="315">
        <f t="shared" si="12"/>
        <v>201</v>
      </c>
      <c r="Z31" s="258">
        <v>201</v>
      </c>
      <c r="AA31" s="255"/>
      <c r="AB31" s="261">
        <v>309</v>
      </c>
      <c r="AC31" s="262"/>
      <c r="AD31" s="316">
        <f t="shared" si="9"/>
        <v>10</v>
      </c>
      <c r="AE31" s="316">
        <f t="shared" si="10"/>
        <v>12</v>
      </c>
    </row>
    <row r="32" spans="1:32" ht="15.3" customHeight="1" x14ac:dyDescent="0.3">
      <c r="A32" s="252" t="s">
        <v>836</v>
      </c>
      <c r="B32" s="208">
        <v>600</v>
      </c>
      <c r="C32" s="209">
        <v>90</v>
      </c>
      <c r="D32" s="213"/>
      <c r="E32" s="224" t="s">
        <v>347</v>
      </c>
      <c r="F32" s="225">
        <v>10</v>
      </c>
      <c r="G32" s="240">
        <v>18.84</v>
      </c>
      <c r="H32" s="235">
        <f t="shared" si="0"/>
        <v>1884</v>
      </c>
      <c r="I32" s="208">
        <v>260</v>
      </c>
      <c r="J32" s="209">
        <v>1442</v>
      </c>
      <c r="K32" s="210">
        <f t="shared" si="1"/>
        <v>144200</v>
      </c>
      <c r="L32" s="215">
        <v>1517</v>
      </c>
      <c r="M32" s="245">
        <f t="shared" si="2"/>
        <v>151700</v>
      </c>
      <c r="N32" s="209">
        <v>11830</v>
      </c>
      <c r="O32" s="249">
        <f t="shared" si="3"/>
        <v>11830000</v>
      </c>
      <c r="P32" s="209">
        <v>4834</v>
      </c>
      <c r="Q32" s="249">
        <f t="shared" si="4"/>
        <v>4834000000</v>
      </c>
      <c r="R32" s="234">
        <v>5089</v>
      </c>
      <c r="S32" s="250">
        <f t="shared" si="5"/>
        <v>5089000000</v>
      </c>
      <c r="T32" s="233">
        <v>16960</v>
      </c>
      <c r="U32" s="251">
        <f t="shared" si="6"/>
        <v>16960000</v>
      </c>
      <c r="V32" s="315">
        <v>2.5</v>
      </c>
      <c r="W32" s="312">
        <v>5</v>
      </c>
      <c r="X32" s="315">
        <f t="shared" si="11"/>
        <v>212</v>
      </c>
      <c r="Y32" s="315">
        <f t="shared" si="12"/>
        <v>254.4</v>
      </c>
      <c r="Z32" s="258">
        <v>254</v>
      </c>
      <c r="AA32" s="255"/>
      <c r="AB32" s="261">
        <v>339</v>
      </c>
      <c r="AC32" s="262"/>
      <c r="AD32" s="316">
        <f t="shared" si="9"/>
        <v>12.5</v>
      </c>
      <c r="AE32" s="316">
        <f t="shared" si="10"/>
        <v>15</v>
      </c>
    </row>
    <row r="33" spans="1:31" ht="15.3" customHeight="1" x14ac:dyDescent="0.3">
      <c r="A33" s="252" t="s">
        <v>837</v>
      </c>
      <c r="B33" s="202">
        <v>700</v>
      </c>
      <c r="C33" s="203">
        <v>100</v>
      </c>
      <c r="D33" s="204"/>
      <c r="E33" s="226" t="s">
        <v>5</v>
      </c>
      <c r="F33" s="227">
        <v>4</v>
      </c>
      <c r="G33" s="241">
        <v>9.24</v>
      </c>
      <c r="H33" s="237">
        <f t="shared" si="0"/>
        <v>924</v>
      </c>
      <c r="I33" s="202">
        <v>305</v>
      </c>
      <c r="J33" s="203">
        <v>1885</v>
      </c>
      <c r="K33" s="204">
        <f t="shared" si="1"/>
        <v>188500</v>
      </c>
      <c r="L33" s="214">
        <v>1922</v>
      </c>
      <c r="M33" s="244">
        <f t="shared" si="2"/>
        <v>192200</v>
      </c>
      <c r="N33" s="203">
        <v>18170</v>
      </c>
      <c r="O33" s="246">
        <f t="shared" si="3"/>
        <v>18170000</v>
      </c>
      <c r="P33" s="203">
        <v>8718</v>
      </c>
      <c r="Q33" s="246">
        <f t="shared" si="4"/>
        <v>8718000000</v>
      </c>
      <c r="R33" s="236">
        <v>8890</v>
      </c>
      <c r="S33" s="247">
        <f t="shared" si="5"/>
        <v>8890000000</v>
      </c>
      <c r="T33" s="232">
        <v>25400</v>
      </c>
      <c r="U33" s="248">
        <f t="shared" si="6"/>
        <v>25400000</v>
      </c>
      <c r="V33" s="311">
        <v>1</v>
      </c>
      <c r="W33" s="311">
        <v>2</v>
      </c>
      <c r="X33" s="314">
        <f t="shared" si="11"/>
        <v>127</v>
      </c>
      <c r="Y33" s="314">
        <f t="shared" si="12"/>
        <v>152.4</v>
      </c>
      <c r="Z33" s="257">
        <v>152</v>
      </c>
      <c r="AA33" s="254"/>
      <c r="AB33" s="259">
        <v>310</v>
      </c>
      <c r="AC33" s="260"/>
      <c r="AD33" s="316">
        <f t="shared" si="9"/>
        <v>5</v>
      </c>
      <c r="AE33" s="316">
        <f t="shared" si="10"/>
        <v>6</v>
      </c>
    </row>
    <row r="34" spans="1:31" ht="15.3" customHeight="1" x14ac:dyDescent="0.3">
      <c r="A34" s="252" t="s">
        <v>838</v>
      </c>
      <c r="B34" s="202">
        <v>700</v>
      </c>
      <c r="C34" s="203">
        <v>100</v>
      </c>
      <c r="D34" s="206"/>
      <c r="E34" s="226" t="s">
        <v>8</v>
      </c>
      <c r="F34" s="227">
        <v>8</v>
      </c>
      <c r="G34" s="241">
        <v>18.84</v>
      </c>
      <c r="H34" s="237">
        <f t="shared" si="0"/>
        <v>1884</v>
      </c>
      <c r="I34" s="202">
        <v>305</v>
      </c>
      <c r="J34" s="203">
        <v>1885</v>
      </c>
      <c r="K34" s="204">
        <f t="shared" si="1"/>
        <v>188500</v>
      </c>
      <c r="L34" s="214">
        <v>1960</v>
      </c>
      <c r="M34" s="244">
        <f t="shared" si="2"/>
        <v>196000</v>
      </c>
      <c r="N34" s="203">
        <v>18170</v>
      </c>
      <c r="O34" s="246">
        <f t="shared" si="3"/>
        <v>18170000</v>
      </c>
      <c r="P34" s="203">
        <v>8718</v>
      </c>
      <c r="Q34" s="246">
        <f t="shared" si="4"/>
        <v>8718000000</v>
      </c>
      <c r="R34" s="236">
        <v>9068</v>
      </c>
      <c r="S34" s="247">
        <f t="shared" si="5"/>
        <v>9068000000</v>
      </c>
      <c r="T34" s="232">
        <v>25910</v>
      </c>
      <c r="U34" s="248">
        <f t="shared" si="6"/>
        <v>25910000</v>
      </c>
      <c r="V34" s="311">
        <v>2</v>
      </c>
      <c r="W34" s="311">
        <v>4</v>
      </c>
      <c r="X34" s="314">
        <f t="shared" si="11"/>
        <v>259.10000000000002</v>
      </c>
      <c r="Y34" s="314">
        <f t="shared" si="12"/>
        <v>310.92</v>
      </c>
      <c r="Z34" s="257">
        <v>311</v>
      </c>
      <c r="AA34" s="254"/>
      <c r="AB34" s="259">
        <v>403</v>
      </c>
      <c r="AC34" s="260"/>
      <c r="AD34" s="316">
        <f t="shared" si="9"/>
        <v>10</v>
      </c>
      <c r="AE34" s="316">
        <f t="shared" si="10"/>
        <v>12</v>
      </c>
    </row>
    <row r="35" spans="1:31" ht="15.3" customHeight="1" x14ac:dyDescent="0.3">
      <c r="A35" s="252" t="s">
        <v>839</v>
      </c>
      <c r="B35" s="202">
        <v>700</v>
      </c>
      <c r="C35" s="203">
        <v>100</v>
      </c>
      <c r="D35" s="207"/>
      <c r="E35" s="226" t="s">
        <v>347</v>
      </c>
      <c r="F35" s="227">
        <v>10</v>
      </c>
      <c r="G35" s="241">
        <v>25.12</v>
      </c>
      <c r="H35" s="237">
        <f t="shared" si="0"/>
        <v>2512</v>
      </c>
      <c r="I35" s="202">
        <v>305</v>
      </c>
      <c r="J35" s="203">
        <v>1885</v>
      </c>
      <c r="K35" s="204">
        <f t="shared" si="1"/>
        <v>188500</v>
      </c>
      <c r="L35" s="214">
        <v>1985</v>
      </c>
      <c r="M35" s="244">
        <f t="shared" si="2"/>
        <v>198500</v>
      </c>
      <c r="N35" s="203">
        <v>18170</v>
      </c>
      <c r="O35" s="246">
        <f t="shared" si="3"/>
        <v>18170000</v>
      </c>
      <c r="P35" s="203">
        <v>8718</v>
      </c>
      <c r="Q35" s="246">
        <f t="shared" si="4"/>
        <v>8718000000</v>
      </c>
      <c r="R35" s="236">
        <v>9185</v>
      </c>
      <c r="S35" s="247">
        <f t="shared" si="5"/>
        <v>9185000000</v>
      </c>
      <c r="T35" s="232">
        <v>26240</v>
      </c>
      <c r="U35" s="248">
        <f t="shared" si="6"/>
        <v>26240000</v>
      </c>
      <c r="V35" s="314">
        <v>2.5</v>
      </c>
      <c r="W35" s="311">
        <v>5</v>
      </c>
      <c r="X35" s="314">
        <f t="shared" si="11"/>
        <v>328</v>
      </c>
      <c r="Y35" s="314">
        <f t="shared" si="12"/>
        <v>393.6</v>
      </c>
      <c r="Z35" s="257">
        <v>394</v>
      </c>
      <c r="AA35" s="254"/>
      <c r="AB35" s="259">
        <v>442</v>
      </c>
      <c r="AC35" s="260"/>
      <c r="AD35" s="316">
        <f t="shared" si="9"/>
        <v>12.5</v>
      </c>
      <c r="AE35" s="316">
        <f t="shared" si="10"/>
        <v>15</v>
      </c>
    </row>
    <row r="36" spans="1:31" ht="15.3" customHeight="1" x14ac:dyDescent="0.3">
      <c r="A36" s="252" t="s">
        <v>841</v>
      </c>
      <c r="B36" s="208">
        <v>800</v>
      </c>
      <c r="C36" s="209">
        <v>110</v>
      </c>
      <c r="D36" s="210"/>
      <c r="E36" s="224" t="s">
        <v>5</v>
      </c>
      <c r="F36" s="225">
        <v>4</v>
      </c>
      <c r="G36" s="240">
        <v>12.31</v>
      </c>
      <c r="H36" s="235">
        <f t="shared" si="0"/>
        <v>1231</v>
      </c>
      <c r="I36" s="208">
        <v>350</v>
      </c>
      <c r="J36" s="209">
        <v>2384</v>
      </c>
      <c r="K36" s="210">
        <f t="shared" si="1"/>
        <v>238400</v>
      </c>
      <c r="L36" s="215">
        <v>2434</v>
      </c>
      <c r="M36" s="245">
        <f t="shared" si="2"/>
        <v>243400</v>
      </c>
      <c r="N36" s="209">
        <v>26410</v>
      </c>
      <c r="O36" s="249">
        <f t="shared" si="3"/>
        <v>26410000</v>
      </c>
      <c r="P36" s="209">
        <v>14550</v>
      </c>
      <c r="Q36" s="249">
        <f t="shared" si="4"/>
        <v>14550000000</v>
      </c>
      <c r="R36" s="234">
        <v>14850</v>
      </c>
      <c r="S36" s="250">
        <f t="shared" si="5"/>
        <v>14850000000</v>
      </c>
      <c r="T36" s="233">
        <v>37130</v>
      </c>
      <c r="U36" s="251">
        <f t="shared" si="6"/>
        <v>37130000</v>
      </c>
      <c r="V36" s="312">
        <v>1</v>
      </c>
      <c r="W36" s="312">
        <v>2</v>
      </c>
      <c r="X36" s="315">
        <f t="shared" si="11"/>
        <v>185.65</v>
      </c>
      <c r="Y36" s="315">
        <f t="shared" si="12"/>
        <v>222.78</v>
      </c>
      <c r="Z36" s="258">
        <v>223</v>
      </c>
      <c r="AA36" s="255"/>
      <c r="AB36" s="261">
        <v>392</v>
      </c>
      <c r="AC36" s="262"/>
      <c r="AD36" s="316">
        <f t="shared" si="9"/>
        <v>5</v>
      </c>
      <c r="AE36" s="316">
        <f t="shared" si="10"/>
        <v>6</v>
      </c>
    </row>
    <row r="37" spans="1:31" ht="15.3" customHeight="1" x14ac:dyDescent="0.3">
      <c r="A37" s="252" t="s">
        <v>842</v>
      </c>
      <c r="B37" s="208">
        <v>800</v>
      </c>
      <c r="C37" s="209">
        <v>110</v>
      </c>
      <c r="D37" s="212"/>
      <c r="E37" s="224" t="s">
        <v>8</v>
      </c>
      <c r="F37" s="225">
        <v>8</v>
      </c>
      <c r="G37" s="240">
        <v>25.12</v>
      </c>
      <c r="H37" s="235">
        <f t="shared" si="0"/>
        <v>2512</v>
      </c>
      <c r="I37" s="208">
        <v>350</v>
      </c>
      <c r="J37" s="209">
        <v>2384</v>
      </c>
      <c r="K37" s="210">
        <f t="shared" si="1"/>
        <v>238400</v>
      </c>
      <c r="L37" s="215">
        <v>2485</v>
      </c>
      <c r="M37" s="245">
        <f t="shared" si="2"/>
        <v>248500</v>
      </c>
      <c r="N37" s="209">
        <v>26410</v>
      </c>
      <c r="O37" s="249">
        <f t="shared" si="3"/>
        <v>26410000</v>
      </c>
      <c r="P37" s="209">
        <v>14550</v>
      </c>
      <c r="Q37" s="249">
        <f t="shared" si="4"/>
        <v>14550000000</v>
      </c>
      <c r="R37" s="234">
        <v>15170</v>
      </c>
      <c r="S37" s="250">
        <f t="shared" si="5"/>
        <v>15170000000</v>
      </c>
      <c r="T37" s="233">
        <v>37920</v>
      </c>
      <c r="U37" s="251">
        <f t="shared" si="6"/>
        <v>37920000</v>
      </c>
      <c r="V37" s="312">
        <v>2</v>
      </c>
      <c r="W37" s="312">
        <v>4</v>
      </c>
      <c r="X37" s="315">
        <f t="shared" si="11"/>
        <v>379.2</v>
      </c>
      <c r="Y37" s="315">
        <f t="shared" si="12"/>
        <v>455.04</v>
      </c>
      <c r="Z37" s="258">
        <v>455</v>
      </c>
      <c r="AA37" s="255"/>
      <c r="AB37" s="261">
        <v>509</v>
      </c>
      <c r="AC37" s="262"/>
      <c r="AD37" s="316">
        <f t="shared" si="9"/>
        <v>10</v>
      </c>
      <c r="AE37" s="316">
        <f t="shared" si="10"/>
        <v>12</v>
      </c>
    </row>
    <row r="38" spans="1:31" ht="15.3" customHeight="1" x14ac:dyDescent="0.3">
      <c r="A38" s="252" t="s">
        <v>843</v>
      </c>
      <c r="B38" s="208">
        <v>800</v>
      </c>
      <c r="C38" s="209">
        <v>110</v>
      </c>
      <c r="D38" s="213"/>
      <c r="E38" s="224" t="s">
        <v>347</v>
      </c>
      <c r="F38" s="225">
        <v>10</v>
      </c>
      <c r="G38" s="240">
        <v>32</v>
      </c>
      <c r="H38" s="235">
        <f t="shared" si="0"/>
        <v>3200</v>
      </c>
      <c r="I38" s="208">
        <v>350</v>
      </c>
      <c r="J38" s="209">
        <v>2384</v>
      </c>
      <c r="K38" s="210">
        <f t="shared" si="1"/>
        <v>238400</v>
      </c>
      <c r="L38" s="215">
        <v>2512</v>
      </c>
      <c r="M38" s="245">
        <f t="shared" si="2"/>
        <v>251200</v>
      </c>
      <c r="N38" s="209">
        <v>26410</v>
      </c>
      <c r="O38" s="249">
        <f t="shared" si="3"/>
        <v>26410000</v>
      </c>
      <c r="P38" s="209">
        <v>14550</v>
      </c>
      <c r="Q38" s="249">
        <f t="shared" si="4"/>
        <v>14550000000</v>
      </c>
      <c r="R38" s="234">
        <v>15340</v>
      </c>
      <c r="S38" s="250">
        <f t="shared" si="5"/>
        <v>15340000000</v>
      </c>
      <c r="T38" s="233">
        <v>38340</v>
      </c>
      <c r="U38" s="251">
        <f t="shared" si="6"/>
        <v>38340000</v>
      </c>
      <c r="V38" s="315">
        <v>2.5</v>
      </c>
      <c r="W38" s="312">
        <v>5</v>
      </c>
      <c r="X38" s="315">
        <f t="shared" si="11"/>
        <v>479.25</v>
      </c>
      <c r="Y38" s="315">
        <f t="shared" si="12"/>
        <v>575.1</v>
      </c>
      <c r="Z38" s="258">
        <v>575</v>
      </c>
      <c r="AA38" s="255"/>
      <c r="AB38" s="261">
        <v>559</v>
      </c>
      <c r="AC38" s="262"/>
      <c r="AD38" s="316">
        <f t="shared" si="9"/>
        <v>12.5</v>
      </c>
      <c r="AE38" s="316">
        <f t="shared" si="10"/>
        <v>15</v>
      </c>
    </row>
    <row r="39" spans="1:31" ht="15.3" customHeight="1" x14ac:dyDescent="0.3">
      <c r="A39" s="252" t="s">
        <v>844</v>
      </c>
      <c r="B39" s="202">
        <v>900</v>
      </c>
      <c r="C39" s="203">
        <v>120</v>
      </c>
      <c r="D39" s="204"/>
      <c r="E39" s="226" t="s">
        <v>5</v>
      </c>
      <c r="F39" s="227">
        <v>4</v>
      </c>
      <c r="G39" s="241">
        <v>15.3</v>
      </c>
      <c r="H39" s="237">
        <f t="shared" si="0"/>
        <v>1530</v>
      </c>
      <c r="I39" s="202">
        <v>395</v>
      </c>
      <c r="J39" s="203">
        <v>2941</v>
      </c>
      <c r="K39" s="204">
        <f t="shared" si="1"/>
        <v>294100</v>
      </c>
      <c r="L39" s="214">
        <v>3002</v>
      </c>
      <c r="M39" s="244">
        <f t="shared" si="2"/>
        <v>300200</v>
      </c>
      <c r="N39" s="203">
        <v>36790</v>
      </c>
      <c r="O39" s="246">
        <f t="shared" si="3"/>
        <v>36790000</v>
      </c>
      <c r="P39" s="203">
        <v>22890</v>
      </c>
      <c r="Q39" s="246">
        <f t="shared" si="4"/>
        <v>22890000000</v>
      </c>
      <c r="R39" s="236">
        <v>23370</v>
      </c>
      <c r="S39" s="247">
        <f t="shared" si="5"/>
        <v>23370000000</v>
      </c>
      <c r="T39" s="232">
        <v>51930</v>
      </c>
      <c r="U39" s="248">
        <f t="shared" si="6"/>
        <v>51930000</v>
      </c>
      <c r="V39" s="311">
        <v>1</v>
      </c>
      <c r="W39" s="311">
        <v>2</v>
      </c>
      <c r="X39" s="314">
        <f t="shared" si="11"/>
        <v>259.64999999999998</v>
      </c>
      <c r="Y39" s="314">
        <f t="shared" si="12"/>
        <v>311.58</v>
      </c>
      <c r="Z39" s="257">
        <v>312</v>
      </c>
      <c r="AA39" s="254"/>
      <c r="AB39" s="259">
        <v>482</v>
      </c>
      <c r="AC39" s="260"/>
      <c r="AD39" s="316">
        <f t="shared" si="9"/>
        <v>5</v>
      </c>
      <c r="AE39" s="316">
        <f t="shared" si="10"/>
        <v>6</v>
      </c>
    </row>
    <row r="40" spans="1:31" ht="15.3" customHeight="1" x14ac:dyDescent="0.3">
      <c r="A40" s="252" t="s">
        <v>845</v>
      </c>
      <c r="B40" s="202">
        <v>900</v>
      </c>
      <c r="C40" s="203">
        <v>120</v>
      </c>
      <c r="D40" s="206"/>
      <c r="E40" s="226" t="s">
        <v>8</v>
      </c>
      <c r="F40" s="227">
        <v>8</v>
      </c>
      <c r="G40" s="241">
        <v>29.83</v>
      </c>
      <c r="H40" s="237">
        <f t="shared" si="0"/>
        <v>2983</v>
      </c>
      <c r="I40" s="202">
        <v>395</v>
      </c>
      <c r="J40" s="203">
        <v>2941</v>
      </c>
      <c r="K40" s="204">
        <f t="shared" si="1"/>
        <v>294100</v>
      </c>
      <c r="L40" s="214">
        <v>3060</v>
      </c>
      <c r="M40" s="244">
        <f t="shared" si="2"/>
        <v>306000</v>
      </c>
      <c r="N40" s="203">
        <v>36790</v>
      </c>
      <c r="O40" s="246">
        <f t="shared" si="3"/>
        <v>36790000</v>
      </c>
      <c r="P40" s="203">
        <v>22890</v>
      </c>
      <c r="Q40" s="246">
        <f t="shared" si="4"/>
        <v>22890000000</v>
      </c>
      <c r="R40" s="236">
        <v>23820</v>
      </c>
      <c r="S40" s="247">
        <f t="shared" si="5"/>
        <v>23820000000</v>
      </c>
      <c r="T40" s="232">
        <v>52940</v>
      </c>
      <c r="U40" s="248">
        <f t="shared" si="6"/>
        <v>52940000</v>
      </c>
      <c r="V40" s="311">
        <v>2</v>
      </c>
      <c r="W40" s="311">
        <v>4</v>
      </c>
      <c r="X40" s="314">
        <f t="shared" si="11"/>
        <v>529.4</v>
      </c>
      <c r="Y40" s="314">
        <f t="shared" si="12"/>
        <v>635.28</v>
      </c>
      <c r="Z40" s="257">
        <v>635</v>
      </c>
      <c r="AA40" s="254"/>
      <c r="AB40" s="259">
        <v>627</v>
      </c>
      <c r="AC40" s="260"/>
      <c r="AD40" s="316">
        <f t="shared" si="9"/>
        <v>10</v>
      </c>
      <c r="AE40" s="316">
        <f t="shared" si="10"/>
        <v>12</v>
      </c>
    </row>
    <row r="41" spans="1:31" ht="15.3" customHeight="1" x14ac:dyDescent="0.3">
      <c r="A41" s="252" t="s">
        <v>846</v>
      </c>
      <c r="B41" s="202">
        <v>900</v>
      </c>
      <c r="C41" s="203">
        <v>120</v>
      </c>
      <c r="D41" s="207"/>
      <c r="E41" s="226" t="s">
        <v>347</v>
      </c>
      <c r="F41" s="227">
        <v>10</v>
      </c>
      <c r="G41" s="241">
        <v>38</v>
      </c>
      <c r="H41" s="237">
        <f t="shared" si="0"/>
        <v>3800</v>
      </c>
      <c r="I41" s="202">
        <v>395</v>
      </c>
      <c r="J41" s="203">
        <v>2941</v>
      </c>
      <c r="K41" s="204">
        <f t="shared" si="1"/>
        <v>294100</v>
      </c>
      <c r="L41" s="214">
        <v>3093</v>
      </c>
      <c r="M41" s="244">
        <f t="shared" si="2"/>
        <v>309300</v>
      </c>
      <c r="N41" s="203">
        <v>36790</v>
      </c>
      <c r="O41" s="246">
        <f t="shared" si="3"/>
        <v>36790000</v>
      </c>
      <c r="P41" s="203">
        <v>22890</v>
      </c>
      <c r="Q41" s="246">
        <f t="shared" si="4"/>
        <v>22890000000</v>
      </c>
      <c r="R41" s="236">
        <v>24080</v>
      </c>
      <c r="S41" s="247">
        <f t="shared" si="5"/>
        <v>24080000000</v>
      </c>
      <c r="T41" s="232">
        <v>53510</v>
      </c>
      <c r="U41" s="248">
        <f t="shared" si="6"/>
        <v>53510000</v>
      </c>
      <c r="V41" s="314">
        <v>2.5</v>
      </c>
      <c r="W41" s="311">
        <v>5</v>
      </c>
      <c r="X41" s="314">
        <f t="shared" si="11"/>
        <v>668.875</v>
      </c>
      <c r="Y41" s="314">
        <f t="shared" si="12"/>
        <v>802.65</v>
      </c>
      <c r="Z41" s="257">
        <v>803</v>
      </c>
      <c r="AA41" s="254"/>
      <c r="AB41" s="259">
        <v>688</v>
      </c>
      <c r="AC41" s="260"/>
      <c r="AD41" s="316">
        <f t="shared" si="9"/>
        <v>12.5</v>
      </c>
      <c r="AE41" s="316">
        <f t="shared" si="10"/>
        <v>15</v>
      </c>
    </row>
    <row r="42" spans="1:31" ht="15.3" customHeight="1" x14ac:dyDescent="0.3">
      <c r="A42" s="252" t="s">
        <v>847</v>
      </c>
      <c r="B42" s="208">
        <v>1000</v>
      </c>
      <c r="C42" s="209">
        <v>130</v>
      </c>
      <c r="D42" s="210"/>
      <c r="E42" s="224" t="s">
        <v>5</v>
      </c>
      <c r="F42" s="225">
        <v>4</v>
      </c>
      <c r="G42" s="240">
        <v>18</v>
      </c>
      <c r="H42" s="235">
        <f t="shared" si="0"/>
        <v>1800</v>
      </c>
      <c r="I42" s="208">
        <v>440</v>
      </c>
      <c r="J42" s="209">
        <v>3553</v>
      </c>
      <c r="K42" s="210">
        <f t="shared" si="1"/>
        <v>355300</v>
      </c>
      <c r="L42" s="215">
        <v>3625</v>
      </c>
      <c r="M42" s="245">
        <f t="shared" si="2"/>
        <v>362500</v>
      </c>
      <c r="N42" s="209">
        <v>49560</v>
      </c>
      <c r="O42" s="249">
        <f t="shared" si="3"/>
        <v>49560000</v>
      </c>
      <c r="P42" s="209">
        <v>34370</v>
      </c>
      <c r="Q42" s="249">
        <f t="shared" si="4"/>
        <v>34370000000</v>
      </c>
      <c r="R42" s="234">
        <v>35060</v>
      </c>
      <c r="S42" s="250">
        <f t="shared" si="5"/>
        <v>35060000000</v>
      </c>
      <c r="T42" s="233">
        <v>70130</v>
      </c>
      <c r="U42" s="251">
        <f t="shared" si="6"/>
        <v>70130000</v>
      </c>
      <c r="V42" s="312">
        <v>1</v>
      </c>
      <c r="W42" s="312">
        <v>2</v>
      </c>
      <c r="X42" s="315">
        <f t="shared" si="11"/>
        <v>350.65</v>
      </c>
      <c r="Y42" s="315">
        <f t="shared" si="12"/>
        <v>420.78</v>
      </c>
      <c r="Z42" s="258">
        <v>421</v>
      </c>
      <c r="AA42" s="255"/>
      <c r="AB42" s="261">
        <v>583</v>
      </c>
      <c r="AC42" s="262"/>
      <c r="AD42" s="316">
        <f t="shared" si="9"/>
        <v>5</v>
      </c>
      <c r="AE42" s="316">
        <f t="shared" si="10"/>
        <v>6</v>
      </c>
    </row>
    <row r="43" spans="1:31" ht="15.3" customHeight="1" x14ac:dyDescent="0.3">
      <c r="A43" s="252" t="s">
        <v>848</v>
      </c>
      <c r="B43" s="208">
        <v>1000</v>
      </c>
      <c r="C43" s="209">
        <v>130</v>
      </c>
      <c r="D43" s="212"/>
      <c r="E43" s="224" t="s">
        <v>8</v>
      </c>
      <c r="F43" s="225">
        <v>8</v>
      </c>
      <c r="G43" s="240">
        <v>36</v>
      </c>
      <c r="H43" s="235">
        <f t="shared" si="0"/>
        <v>3600</v>
      </c>
      <c r="I43" s="208">
        <v>440</v>
      </c>
      <c r="J43" s="209">
        <v>3553</v>
      </c>
      <c r="K43" s="210">
        <f t="shared" si="1"/>
        <v>355300</v>
      </c>
      <c r="L43" s="215">
        <v>3697</v>
      </c>
      <c r="M43" s="245">
        <f t="shared" si="2"/>
        <v>369700</v>
      </c>
      <c r="N43" s="209">
        <v>49560</v>
      </c>
      <c r="O43" s="249">
        <f t="shared" si="3"/>
        <v>49560000</v>
      </c>
      <c r="P43" s="209">
        <v>34370</v>
      </c>
      <c r="Q43" s="249">
        <f t="shared" si="4"/>
        <v>34370000000</v>
      </c>
      <c r="R43" s="234">
        <v>35760</v>
      </c>
      <c r="S43" s="250">
        <f t="shared" si="5"/>
        <v>35760000000</v>
      </c>
      <c r="T43" s="233">
        <v>71520</v>
      </c>
      <c r="U43" s="251">
        <f t="shared" si="6"/>
        <v>71520000</v>
      </c>
      <c r="V43" s="312">
        <v>2</v>
      </c>
      <c r="W43" s="312">
        <v>4</v>
      </c>
      <c r="X43" s="315">
        <f t="shared" si="11"/>
        <v>715.2</v>
      </c>
      <c r="Y43" s="315">
        <f t="shared" si="12"/>
        <v>858.24</v>
      </c>
      <c r="Z43" s="258">
        <v>858</v>
      </c>
      <c r="AA43" s="255"/>
      <c r="AB43" s="261">
        <v>757</v>
      </c>
      <c r="AC43" s="262"/>
      <c r="AD43" s="316">
        <f t="shared" si="9"/>
        <v>10</v>
      </c>
      <c r="AE43" s="316">
        <f t="shared" si="10"/>
        <v>12</v>
      </c>
    </row>
    <row r="44" spans="1:31" ht="15.3" customHeight="1" x14ac:dyDescent="0.3">
      <c r="A44" s="252" t="s">
        <v>849</v>
      </c>
      <c r="B44" s="208">
        <v>1000</v>
      </c>
      <c r="C44" s="209">
        <v>130</v>
      </c>
      <c r="D44" s="213"/>
      <c r="E44" s="224" t="s">
        <v>347</v>
      </c>
      <c r="F44" s="225">
        <v>10</v>
      </c>
      <c r="G44" s="240">
        <v>46</v>
      </c>
      <c r="H44" s="235">
        <f t="shared" si="0"/>
        <v>4600</v>
      </c>
      <c r="I44" s="208">
        <v>440</v>
      </c>
      <c r="J44" s="209">
        <v>3553</v>
      </c>
      <c r="K44" s="210">
        <f t="shared" si="1"/>
        <v>355300</v>
      </c>
      <c r="L44" s="215">
        <v>3737</v>
      </c>
      <c r="M44" s="245">
        <f t="shared" si="2"/>
        <v>373700</v>
      </c>
      <c r="N44" s="209">
        <v>49560</v>
      </c>
      <c r="O44" s="249">
        <f t="shared" si="3"/>
        <v>49560000</v>
      </c>
      <c r="P44" s="209">
        <v>34370</v>
      </c>
      <c r="Q44" s="249">
        <f t="shared" si="4"/>
        <v>34370000000</v>
      </c>
      <c r="R44" s="234">
        <v>36150</v>
      </c>
      <c r="S44" s="250">
        <f t="shared" si="5"/>
        <v>36150000000</v>
      </c>
      <c r="T44" s="233">
        <v>72300</v>
      </c>
      <c r="U44" s="251">
        <f t="shared" si="6"/>
        <v>72300000</v>
      </c>
      <c r="V44" s="315">
        <v>2.5</v>
      </c>
      <c r="W44" s="312">
        <v>5</v>
      </c>
      <c r="X44" s="315">
        <f t="shared" si="11"/>
        <v>903.75</v>
      </c>
      <c r="Y44" s="315">
        <f t="shared" si="12"/>
        <v>1084.5</v>
      </c>
      <c r="Z44" s="258">
        <v>1084</v>
      </c>
      <c r="AA44" s="255"/>
      <c r="AB44" s="261">
        <v>831</v>
      </c>
      <c r="AC44" s="262"/>
      <c r="AD44" s="316">
        <f t="shared" si="9"/>
        <v>12.5</v>
      </c>
      <c r="AE44" s="316">
        <f t="shared" si="10"/>
        <v>15</v>
      </c>
    </row>
    <row r="45" spans="1:31" ht="15.3" customHeight="1" x14ac:dyDescent="0.3">
      <c r="A45" s="252" t="s">
        <v>850</v>
      </c>
      <c r="B45" s="202">
        <v>1100</v>
      </c>
      <c r="C45" s="203">
        <v>140</v>
      </c>
      <c r="D45" s="204"/>
      <c r="E45" s="226" t="s">
        <v>5</v>
      </c>
      <c r="F45" s="227">
        <v>4</v>
      </c>
      <c r="G45" s="241">
        <v>22</v>
      </c>
      <c r="H45" s="237">
        <f t="shared" si="0"/>
        <v>2200</v>
      </c>
      <c r="I45" s="202">
        <v>490</v>
      </c>
      <c r="J45" s="203">
        <v>4222</v>
      </c>
      <c r="K45" s="204">
        <f t="shared" si="1"/>
        <v>422200</v>
      </c>
      <c r="L45" s="214">
        <v>4310</v>
      </c>
      <c r="M45" s="244">
        <f t="shared" si="2"/>
        <v>431000</v>
      </c>
      <c r="N45" s="203">
        <v>64970</v>
      </c>
      <c r="O45" s="246">
        <f t="shared" si="3"/>
        <v>64970000</v>
      </c>
      <c r="P45" s="203">
        <v>49680</v>
      </c>
      <c r="Q45" s="246">
        <f t="shared" si="4"/>
        <v>49680000000</v>
      </c>
      <c r="R45" s="236">
        <v>50730</v>
      </c>
      <c r="S45" s="247">
        <f t="shared" si="5"/>
        <v>50730000000</v>
      </c>
      <c r="T45" s="232">
        <v>92240</v>
      </c>
      <c r="U45" s="248">
        <f t="shared" si="6"/>
        <v>92240000</v>
      </c>
      <c r="V45" s="311">
        <v>1</v>
      </c>
      <c r="W45" s="311">
        <v>2</v>
      </c>
      <c r="X45" s="314">
        <f t="shared" si="11"/>
        <v>461.2</v>
      </c>
      <c r="Y45" s="314">
        <f t="shared" si="12"/>
        <v>553.44000000000005</v>
      </c>
      <c r="Z45" s="257">
        <v>553</v>
      </c>
      <c r="AA45" s="254"/>
      <c r="AB45" s="259">
        <v>692</v>
      </c>
      <c r="AC45" s="260"/>
      <c r="AD45" s="316">
        <f t="shared" si="9"/>
        <v>5</v>
      </c>
      <c r="AE45" s="316">
        <f t="shared" si="10"/>
        <v>6</v>
      </c>
    </row>
    <row r="46" spans="1:31" ht="15.3" customHeight="1" x14ac:dyDescent="0.3">
      <c r="A46" s="252" t="s">
        <v>851</v>
      </c>
      <c r="B46" s="202">
        <v>1100</v>
      </c>
      <c r="C46" s="203">
        <v>140</v>
      </c>
      <c r="D46" s="206"/>
      <c r="E46" s="226" t="s">
        <v>8</v>
      </c>
      <c r="F46" s="227">
        <v>8</v>
      </c>
      <c r="G46" s="241">
        <v>44</v>
      </c>
      <c r="H46" s="237">
        <f t="shared" si="0"/>
        <v>4400</v>
      </c>
      <c r="I46" s="202">
        <v>490</v>
      </c>
      <c r="J46" s="203">
        <v>4222</v>
      </c>
      <c r="K46" s="204">
        <f t="shared" si="1"/>
        <v>422200</v>
      </c>
      <c r="L46" s="214">
        <v>4398</v>
      </c>
      <c r="M46" s="244">
        <f t="shared" si="2"/>
        <v>439800</v>
      </c>
      <c r="N46" s="203">
        <v>64970</v>
      </c>
      <c r="O46" s="246">
        <f t="shared" si="3"/>
        <v>64970000</v>
      </c>
      <c r="P46" s="203">
        <v>49680</v>
      </c>
      <c r="Q46" s="246">
        <f t="shared" si="4"/>
        <v>49680000000</v>
      </c>
      <c r="R46" s="236">
        <v>51790</v>
      </c>
      <c r="S46" s="247">
        <f t="shared" si="5"/>
        <v>51790000000</v>
      </c>
      <c r="T46" s="232">
        <v>94160</v>
      </c>
      <c r="U46" s="248">
        <f t="shared" si="6"/>
        <v>94160000</v>
      </c>
      <c r="V46" s="311">
        <v>2</v>
      </c>
      <c r="W46" s="311">
        <v>4</v>
      </c>
      <c r="X46" s="314">
        <f t="shared" si="11"/>
        <v>941.6</v>
      </c>
      <c r="Y46" s="314">
        <f t="shared" si="12"/>
        <v>1129.92</v>
      </c>
      <c r="Z46" s="257">
        <v>1130</v>
      </c>
      <c r="AA46" s="254"/>
      <c r="AB46" s="259">
        <v>899</v>
      </c>
      <c r="AC46" s="260"/>
      <c r="AD46" s="316">
        <f t="shared" si="9"/>
        <v>10</v>
      </c>
      <c r="AE46" s="316">
        <f t="shared" si="10"/>
        <v>12</v>
      </c>
    </row>
    <row r="47" spans="1:31" ht="15.3" customHeight="1" x14ac:dyDescent="0.3">
      <c r="A47" s="252" t="s">
        <v>852</v>
      </c>
      <c r="B47" s="202">
        <v>1100</v>
      </c>
      <c r="C47" s="203">
        <v>140</v>
      </c>
      <c r="D47" s="207"/>
      <c r="E47" s="226" t="s">
        <v>347</v>
      </c>
      <c r="F47" s="227">
        <v>10</v>
      </c>
      <c r="G47" s="241">
        <v>55</v>
      </c>
      <c r="H47" s="237">
        <f t="shared" si="0"/>
        <v>5500</v>
      </c>
      <c r="I47" s="202">
        <v>490</v>
      </c>
      <c r="J47" s="203">
        <v>4222</v>
      </c>
      <c r="K47" s="204">
        <f t="shared" si="1"/>
        <v>422200</v>
      </c>
      <c r="L47" s="214">
        <v>4442</v>
      </c>
      <c r="M47" s="244">
        <f t="shared" si="2"/>
        <v>444200</v>
      </c>
      <c r="N47" s="203">
        <v>64970</v>
      </c>
      <c r="O47" s="246">
        <f t="shared" si="3"/>
        <v>64970000</v>
      </c>
      <c r="P47" s="203">
        <v>49680</v>
      </c>
      <c r="Q47" s="246">
        <f t="shared" si="4"/>
        <v>49680000000</v>
      </c>
      <c r="R47" s="236">
        <v>52320</v>
      </c>
      <c r="S47" s="247">
        <f t="shared" si="5"/>
        <v>52320000000</v>
      </c>
      <c r="T47" s="232">
        <v>95120</v>
      </c>
      <c r="U47" s="248">
        <f t="shared" si="6"/>
        <v>95120000</v>
      </c>
      <c r="V47" s="314">
        <v>2.5</v>
      </c>
      <c r="W47" s="311">
        <v>5</v>
      </c>
      <c r="X47" s="314">
        <f t="shared" si="11"/>
        <v>1189</v>
      </c>
      <c r="Y47" s="314">
        <f t="shared" si="12"/>
        <v>1426.8</v>
      </c>
      <c r="Z47" s="257">
        <v>1427</v>
      </c>
      <c r="AA47" s="254"/>
      <c r="AB47" s="259">
        <v>987</v>
      </c>
      <c r="AC47" s="260"/>
      <c r="AD47" s="316">
        <f t="shared" si="9"/>
        <v>12.5</v>
      </c>
      <c r="AE47" s="316">
        <f t="shared" si="10"/>
        <v>15</v>
      </c>
    </row>
    <row r="48" spans="1:31" ht="15.3" customHeight="1" x14ac:dyDescent="0.3">
      <c r="A48" s="252" t="s">
        <v>853</v>
      </c>
      <c r="B48" s="208">
        <v>1200</v>
      </c>
      <c r="C48" s="209">
        <v>150</v>
      </c>
      <c r="D48" s="210"/>
      <c r="E48" s="224" t="s">
        <v>5</v>
      </c>
      <c r="F48" s="225">
        <v>4</v>
      </c>
      <c r="G48" s="240">
        <v>26</v>
      </c>
      <c r="H48" s="235">
        <f t="shared" si="0"/>
        <v>2600</v>
      </c>
      <c r="I48" s="208">
        <v>540</v>
      </c>
      <c r="J48" s="209">
        <v>4948</v>
      </c>
      <c r="K48" s="210">
        <f t="shared" si="1"/>
        <v>494800</v>
      </c>
      <c r="L48" s="215">
        <v>5052</v>
      </c>
      <c r="M48" s="245">
        <f t="shared" si="2"/>
        <v>505200</v>
      </c>
      <c r="N48" s="209">
        <v>83250</v>
      </c>
      <c r="O48" s="249">
        <f t="shared" si="3"/>
        <v>83250000</v>
      </c>
      <c r="P48" s="209">
        <v>69580</v>
      </c>
      <c r="Q48" s="249">
        <f t="shared" si="4"/>
        <v>69580000000</v>
      </c>
      <c r="R48" s="234">
        <v>71100</v>
      </c>
      <c r="S48" s="250">
        <f t="shared" si="5"/>
        <v>71100000000</v>
      </c>
      <c r="T48" s="233">
        <v>118500</v>
      </c>
      <c r="U48" s="251">
        <f t="shared" si="6"/>
        <v>118500000</v>
      </c>
      <c r="V48" s="312">
        <v>1</v>
      </c>
      <c r="W48" s="312">
        <v>2</v>
      </c>
      <c r="X48" s="315">
        <f t="shared" si="11"/>
        <v>592.5</v>
      </c>
      <c r="Y48" s="315">
        <f t="shared" si="12"/>
        <v>711</v>
      </c>
      <c r="Z48" s="258">
        <v>711</v>
      </c>
      <c r="AA48" s="255"/>
      <c r="AB48" s="261">
        <v>810</v>
      </c>
      <c r="AC48" s="262"/>
      <c r="AD48" s="316">
        <f t="shared" si="9"/>
        <v>5</v>
      </c>
      <c r="AE48" s="316">
        <f t="shared" si="10"/>
        <v>6</v>
      </c>
    </row>
    <row r="49" spans="1:31" ht="15.3" customHeight="1" x14ac:dyDescent="0.3">
      <c r="A49" s="252" t="s">
        <v>854</v>
      </c>
      <c r="B49" s="208">
        <v>1200</v>
      </c>
      <c r="C49" s="209">
        <v>150</v>
      </c>
      <c r="D49" s="212"/>
      <c r="E49" s="224" t="s">
        <v>8</v>
      </c>
      <c r="F49" s="225">
        <v>8</v>
      </c>
      <c r="G49" s="240">
        <v>50</v>
      </c>
      <c r="H49" s="235">
        <f t="shared" si="0"/>
        <v>5000</v>
      </c>
      <c r="I49" s="208">
        <v>540</v>
      </c>
      <c r="J49" s="209">
        <v>4948</v>
      </c>
      <c r="K49" s="210">
        <f t="shared" si="1"/>
        <v>494800</v>
      </c>
      <c r="L49" s="215">
        <v>5148</v>
      </c>
      <c r="M49" s="245">
        <f t="shared" si="2"/>
        <v>514800</v>
      </c>
      <c r="N49" s="209">
        <v>83250</v>
      </c>
      <c r="O49" s="249">
        <f t="shared" si="3"/>
        <v>83250000</v>
      </c>
      <c r="P49" s="209">
        <v>69580</v>
      </c>
      <c r="Q49" s="249">
        <f t="shared" si="4"/>
        <v>69580000000</v>
      </c>
      <c r="R49" s="234">
        <v>72500</v>
      </c>
      <c r="S49" s="250">
        <f t="shared" si="5"/>
        <v>72500000000</v>
      </c>
      <c r="T49" s="233">
        <v>120800</v>
      </c>
      <c r="U49" s="251">
        <f t="shared" si="6"/>
        <v>120800000</v>
      </c>
      <c r="V49" s="312">
        <v>2</v>
      </c>
      <c r="W49" s="312">
        <v>4</v>
      </c>
      <c r="X49" s="315">
        <f t="shared" si="11"/>
        <v>1208</v>
      </c>
      <c r="Y49" s="315">
        <f t="shared" si="12"/>
        <v>1449.6</v>
      </c>
      <c r="Z49" s="258">
        <v>1450</v>
      </c>
      <c r="AA49" s="255"/>
      <c r="AB49" s="261">
        <v>1053</v>
      </c>
      <c r="AC49" s="262"/>
      <c r="AD49" s="316">
        <f t="shared" si="9"/>
        <v>10</v>
      </c>
      <c r="AE49" s="316">
        <f t="shared" si="10"/>
        <v>12</v>
      </c>
    </row>
    <row r="50" spans="1:31" ht="15.3" customHeight="1" x14ac:dyDescent="0.3">
      <c r="A50" s="252" t="s">
        <v>840</v>
      </c>
      <c r="B50" s="208">
        <v>1200</v>
      </c>
      <c r="C50" s="209">
        <v>150</v>
      </c>
      <c r="D50" s="213"/>
      <c r="E50" s="224" t="s">
        <v>347</v>
      </c>
      <c r="F50" s="225">
        <v>10</v>
      </c>
      <c r="G50" s="240">
        <v>64</v>
      </c>
      <c r="H50" s="235">
        <f t="shared" si="0"/>
        <v>6400</v>
      </c>
      <c r="I50" s="208">
        <v>540</v>
      </c>
      <c r="J50" s="209">
        <v>4948</v>
      </c>
      <c r="K50" s="210">
        <f t="shared" si="1"/>
        <v>494800</v>
      </c>
      <c r="L50" s="215">
        <v>5204</v>
      </c>
      <c r="M50" s="245">
        <f t="shared" si="2"/>
        <v>520400</v>
      </c>
      <c r="N50" s="209">
        <v>83250</v>
      </c>
      <c r="O50" s="249">
        <f t="shared" si="3"/>
        <v>83250000</v>
      </c>
      <c r="P50" s="209">
        <v>69580</v>
      </c>
      <c r="Q50" s="249">
        <f t="shared" si="4"/>
        <v>69580000000</v>
      </c>
      <c r="R50" s="234">
        <v>73310</v>
      </c>
      <c r="S50" s="250">
        <f t="shared" si="5"/>
        <v>73310000000</v>
      </c>
      <c r="T50" s="233">
        <v>122200</v>
      </c>
      <c r="U50" s="251">
        <f t="shared" si="6"/>
        <v>122200000</v>
      </c>
      <c r="V50" s="315">
        <v>2.5</v>
      </c>
      <c r="W50" s="312">
        <v>5</v>
      </c>
      <c r="X50" s="315">
        <f t="shared" si="11"/>
        <v>1527.5</v>
      </c>
      <c r="Y50" s="315">
        <f t="shared" si="12"/>
        <v>1833</v>
      </c>
      <c r="Z50" s="258">
        <v>1833</v>
      </c>
      <c r="AA50" s="255"/>
      <c r="AB50" s="261">
        <v>1156</v>
      </c>
      <c r="AC50" s="262"/>
      <c r="AD50" s="316">
        <f t="shared" si="9"/>
        <v>12.5</v>
      </c>
      <c r="AE50" s="316">
        <f t="shared" si="10"/>
        <v>15</v>
      </c>
    </row>
    <row r="51" spans="1:31" ht="15.3" customHeight="1" x14ac:dyDescent="0.3">
      <c r="B51" s="216"/>
      <c r="C51" s="216"/>
      <c r="D51" s="216"/>
      <c r="E51" s="217"/>
      <c r="F51" s="217"/>
      <c r="G51" s="218"/>
      <c r="H51" s="218"/>
      <c r="I51" s="216"/>
      <c r="J51" s="216"/>
      <c r="K51" s="216"/>
      <c r="L51" s="219"/>
      <c r="M51" s="219"/>
      <c r="N51" s="220"/>
      <c r="O51" s="220"/>
      <c r="P51" s="221"/>
      <c r="Q51" s="221"/>
      <c r="R51" s="222"/>
      <c r="S51" s="222"/>
      <c r="T51" s="222"/>
      <c r="U51" s="248"/>
      <c r="V51" s="313"/>
      <c r="W51" s="313"/>
      <c r="X51" s="313"/>
      <c r="Y51" s="313"/>
      <c r="Z51" s="223"/>
      <c r="AA51" s="223"/>
      <c r="AB51" s="220"/>
      <c r="AC51" s="220"/>
    </row>
    <row r="52" spans="1:31" ht="15.3" customHeight="1" x14ac:dyDescent="0.3">
      <c r="B52" s="411" t="s">
        <v>799</v>
      </c>
      <c r="C52" s="411"/>
      <c r="D52" s="411"/>
      <c r="E52" s="411"/>
      <c r="F52" s="411"/>
      <c r="G52" s="411"/>
      <c r="H52" s="411"/>
      <c r="I52" s="411"/>
      <c r="J52" s="411"/>
      <c r="K52" s="411"/>
      <c r="L52" s="411"/>
      <c r="M52" s="411"/>
      <c r="N52" s="411"/>
      <c r="O52" s="411"/>
      <c r="P52" s="411"/>
      <c r="Q52" s="411"/>
      <c r="R52" s="411"/>
      <c r="S52" s="411"/>
      <c r="T52" s="411"/>
      <c r="U52" s="411"/>
      <c r="V52" s="411"/>
      <c r="W52" s="411"/>
      <c r="X52" s="411"/>
      <c r="Y52" s="411"/>
      <c r="Z52" s="411"/>
      <c r="AA52" s="411"/>
      <c r="AB52" s="411"/>
      <c r="AC52" s="411"/>
      <c r="AD52" s="411"/>
      <c r="AE52" s="411"/>
    </row>
    <row r="53" spans="1:31" ht="15.3" customHeight="1" x14ac:dyDescent="0.3">
      <c r="B53" s="412" t="s">
        <v>780</v>
      </c>
      <c r="C53" s="413"/>
      <c r="D53" s="412" t="s">
        <v>781</v>
      </c>
      <c r="E53" s="413"/>
      <c r="F53" s="416" t="s">
        <v>782</v>
      </c>
      <c r="G53" s="417"/>
      <c r="H53" s="420" t="s">
        <v>783</v>
      </c>
      <c r="I53" s="421"/>
      <c r="J53" s="422"/>
      <c r="K53" s="423" t="s">
        <v>800</v>
      </c>
      <c r="L53" s="424"/>
      <c r="M53" s="424"/>
      <c r="N53" s="425"/>
      <c r="O53" s="429" t="s">
        <v>784</v>
      </c>
      <c r="P53" s="430"/>
      <c r="Q53" s="430"/>
      <c r="R53" s="431"/>
      <c r="S53" s="432" t="s">
        <v>786</v>
      </c>
      <c r="T53" s="433"/>
      <c r="U53" s="433"/>
      <c r="V53" s="433"/>
      <c r="W53" s="433"/>
      <c r="X53" s="433"/>
      <c r="Y53" s="433"/>
      <c r="Z53" s="434"/>
      <c r="AA53" s="412" t="s">
        <v>787</v>
      </c>
      <c r="AB53" s="413"/>
    </row>
    <row r="54" spans="1:31" ht="15.3" customHeight="1" x14ac:dyDescent="0.3">
      <c r="B54" s="414"/>
      <c r="C54" s="415"/>
      <c r="D54" s="414"/>
      <c r="E54" s="415"/>
      <c r="F54" s="418"/>
      <c r="G54" s="419"/>
      <c r="H54" s="406" t="s">
        <v>790</v>
      </c>
      <c r="I54" s="407"/>
      <c r="J54" s="201" t="s">
        <v>791</v>
      </c>
      <c r="K54" s="426"/>
      <c r="L54" s="427"/>
      <c r="M54" s="427"/>
      <c r="N54" s="428"/>
      <c r="O54" s="406" t="s">
        <v>792</v>
      </c>
      <c r="P54" s="407"/>
      <c r="Q54" s="408" t="s">
        <v>793</v>
      </c>
      <c r="R54" s="409"/>
      <c r="S54" s="408" t="s">
        <v>794</v>
      </c>
      <c r="T54" s="409"/>
      <c r="U54" s="408" t="s">
        <v>795</v>
      </c>
      <c r="V54" s="410"/>
      <c r="W54" s="410"/>
      <c r="X54" s="410"/>
      <c r="Y54" s="410"/>
      <c r="Z54" s="409"/>
      <c r="AA54" s="414"/>
      <c r="AB54" s="415"/>
    </row>
    <row r="55" spans="1:31" ht="15.3" customHeight="1" x14ac:dyDescent="0.3">
      <c r="B55" s="389">
        <v>300</v>
      </c>
      <c r="C55" s="390"/>
      <c r="D55" s="389">
        <v>60</v>
      </c>
      <c r="E55" s="390"/>
      <c r="F55" s="353" t="s">
        <v>796</v>
      </c>
      <c r="G55" s="354"/>
      <c r="H55" s="340">
        <v>2.31</v>
      </c>
      <c r="I55" s="341"/>
      <c r="J55" s="367">
        <v>120</v>
      </c>
      <c r="K55" s="373">
        <v>250</v>
      </c>
      <c r="L55" s="374"/>
      <c r="M55" s="374"/>
      <c r="N55" s="375"/>
      <c r="O55" s="389">
        <v>452</v>
      </c>
      <c r="P55" s="390"/>
      <c r="Q55" s="395">
        <v>462</v>
      </c>
      <c r="R55" s="396"/>
      <c r="S55" s="397">
        <v>346.1</v>
      </c>
      <c r="T55" s="398"/>
      <c r="U55" s="403">
        <v>352.7</v>
      </c>
      <c r="V55" s="404"/>
      <c r="W55" s="404"/>
      <c r="X55" s="404"/>
      <c r="Y55" s="404"/>
      <c r="Z55" s="405"/>
      <c r="AA55" s="344">
        <v>2352</v>
      </c>
      <c r="AB55" s="346"/>
    </row>
    <row r="56" spans="1:31" ht="15.3" customHeight="1" x14ac:dyDescent="0.3">
      <c r="B56" s="391"/>
      <c r="C56" s="392"/>
      <c r="D56" s="391"/>
      <c r="E56" s="392"/>
      <c r="F56" s="353" t="s">
        <v>797</v>
      </c>
      <c r="G56" s="354"/>
      <c r="H56" s="340">
        <v>4.4800000000000004</v>
      </c>
      <c r="I56" s="341"/>
      <c r="J56" s="368"/>
      <c r="K56" s="376"/>
      <c r="L56" s="377"/>
      <c r="M56" s="377"/>
      <c r="N56" s="378"/>
      <c r="O56" s="391"/>
      <c r="P56" s="392"/>
      <c r="Q56" s="395">
        <v>470</v>
      </c>
      <c r="R56" s="396"/>
      <c r="S56" s="399"/>
      <c r="T56" s="400"/>
      <c r="U56" s="403">
        <v>359</v>
      </c>
      <c r="V56" s="404"/>
      <c r="W56" s="404"/>
      <c r="X56" s="404"/>
      <c r="Y56" s="404"/>
      <c r="Z56" s="405"/>
      <c r="AA56" s="344">
        <v>2393</v>
      </c>
      <c r="AB56" s="346"/>
    </row>
    <row r="57" spans="1:31" ht="15.3" customHeight="1" x14ac:dyDescent="0.3">
      <c r="B57" s="393"/>
      <c r="C57" s="394"/>
      <c r="D57" s="393"/>
      <c r="E57" s="394"/>
      <c r="F57" s="353" t="s">
        <v>798</v>
      </c>
      <c r="G57" s="354"/>
      <c r="H57" s="340">
        <v>6</v>
      </c>
      <c r="I57" s="341"/>
      <c r="J57" s="369"/>
      <c r="K57" s="379"/>
      <c r="L57" s="380"/>
      <c r="M57" s="380"/>
      <c r="N57" s="381"/>
      <c r="O57" s="393"/>
      <c r="P57" s="394"/>
      <c r="Q57" s="395">
        <v>476</v>
      </c>
      <c r="R57" s="396"/>
      <c r="S57" s="401"/>
      <c r="T57" s="402"/>
      <c r="U57" s="403">
        <v>363.4</v>
      </c>
      <c r="V57" s="404"/>
      <c r="W57" s="404"/>
      <c r="X57" s="404"/>
      <c r="Y57" s="404"/>
      <c r="Z57" s="405"/>
      <c r="AA57" s="344">
        <v>2422</v>
      </c>
      <c r="AB57" s="346"/>
    </row>
    <row r="58" spans="1:31" ht="15.3" customHeight="1" x14ac:dyDescent="0.3">
      <c r="B58" s="373">
        <v>350</v>
      </c>
      <c r="C58" s="375"/>
      <c r="D58" s="389">
        <v>60</v>
      </c>
      <c r="E58" s="390"/>
      <c r="F58" s="353" t="s">
        <v>796</v>
      </c>
      <c r="G58" s="354"/>
      <c r="H58" s="340">
        <v>2.8</v>
      </c>
      <c r="I58" s="341"/>
      <c r="J58" s="367">
        <v>145</v>
      </c>
      <c r="K58" s="373">
        <v>300</v>
      </c>
      <c r="L58" s="374"/>
      <c r="M58" s="374"/>
      <c r="N58" s="375"/>
      <c r="O58" s="389">
        <v>547</v>
      </c>
      <c r="P58" s="390"/>
      <c r="Q58" s="395">
        <v>558</v>
      </c>
      <c r="R58" s="396"/>
      <c r="S58" s="397">
        <v>599.29999999999995</v>
      </c>
      <c r="T58" s="398"/>
      <c r="U58" s="403">
        <v>611</v>
      </c>
      <c r="V58" s="404"/>
      <c r="W58" s="404"/>
      <c r="X58" s="404"/>
      <c r="Y58" s="404"/>
      <c r="Z58" s="405"/>
      <c r="AA58" s="344">
        <v>3492</v>
      </c>
      <c r="AB58" s="346"/>
    </row>
    <row r="59" spans="1:31" ht="15.3" customHeight="1" x14ac:dyDescent="0.3">
      <c r="B59" s="376"/>
      <c r="C59" s="378"/>
      <c r="D59" s="391"/>
      <c r="E59" s="392"/>
      <c r="F59" s="353" t="s">
        <v>797</v>
      </c>
      <c r="G59" s="354"/>
      <c r="H59" s="340">
        <v>5.12</v>
      </c>
      <c r="I59" s="341"/>
      <c r="J59" s="368"/>
      <c r="K59" s="376"/>
      <c r="L59" s="377"/>
      <c r="M59" s="377"/>
      <c r="N59" s="378"/>
      <c r="O59" s="391"/>
      <c r="P59" s="392"/>
      <c r="Q59" s="395">
        <v>567</v>
      </c>
      <c r="R59" s="396"/>
      <c r="S59" s="399"/>
      <c r="T59" s="400"/>
      <c r="U59" s="403">
        <v>620.79999999999995</v>
      </c>
      <c r="V59" s="404"/>
      <c r="W59" s="404"/>
      <c r="X59" s="404"/>
      <c r="Y59" s="404"/>
      <c r="Z59" s="405"/>
      <c r="AA59" s="344">
        <v>3547</v>
      </c>
      <c r="AB59" s="346"/>
    </row>
    <row r="60" spans="1:31" ht="15.3" customHeight="1" x14ac:dyDescent="0.3">
      <c r="B60" s="379"/>
      <c r="C60" s="381"/>
      <c r="D60" s="393"/>
      <c r="E60" s="394"/>
      <c r="F60" s="353" t="s">
        <v>798</v>
      </c>
      <c r="G60" s="354"/>
      <c r="H60" s="340">
        <v>7.07</v>
      </c>
      <c r="I60" s="341"/>
      <c r="J60" s="369"/>
      <c r="K60" s="379"/>
      <c r="L60" s="380"/>
      <c r="M60" s="380"/>
      <c r="N60" s="381"/>
      <c r="O60" s="393"/>
      <c r="P60" s="394"/>
      <c r="Q60" s="395">
        <v>575</v>
      </c>
      <c r="R60" s="396"/>
      <c r="S60" s="401"/>
      <c r="T60" s="402"/>
      <c r="U60" s="403">
        <v>629</v>
      </c>
      <c r="V60" s="404"/>
      <c r="W60" s="404"/>
      <c r="X60" s="404"/>
      <c r="Y60" s="404"/>
      <c r="Z60" s="405"/>
      <c r="AA60" s="344">
        <v>3594</v>
      </c>
      <c r="AB60" s="346"/>
    </row>
    <row r="61" spans="1:31" ht="15.3" customHeight="1" x14ac:dyDescent="0.3">
      <c r="B61" s="373">
        <v>400</v>
      </c>
      <c r="C61" s="375"/>
      <c r="D61" s="389">
        <v>65</v>
      </c>
      <c r="E61" s="390"/>
      <c r="F61" s="353" t="s">
        <v>796</v>
      </c>
      <c r="G61" s="354"/>
      <c r="H61" s="340">
        <v>3.85</v>
      </c>
      <c r="I61" s="341"/>
      <c r="J61" s="367">
        <v>165</v>
      </c>
      <c r="K61" s="373">
        <v>340</v>
      </c>
      <c r="L61" s="374"/>
      <c r="M61" s="374"/>
      <c r="N61" s="375"/>
      <c r="O61" s="389">
        <v>684</v>
      </c>
      <c r="P61" s="390"/>
      <c r="Q61" s="395">
        <v>699</v>
      </c>
      <c r="R61" s="396"/>
      <c r="S61" s="397">
        <v>995.8</v>
      </c>
      <c r="T61" s="398"/>
      <c r="U61" s="344">
        <v>1017</v>
      </c>
      <c r="V61" s="345"/>
      <c r="W61" s="345"/>
      <c r="X61" s="345"/>
      <c r="Y61" s="345"/>
      <c r="Z61" s="346"/>
      <c r="AA61" s="344">
        <v>5084</v>
      </c>
      <c r="AB61" s="346"/>
    </row>
    <row r="62" spans="1:31" ht="15.3" customHeight="1" x14ac:dyDescent="0.3">
      <c r="B62" s="376"/>
      <c r="C62" s="378"/>
      <c r="D62" s="391"/>
      <c r="E62" s="392"/>
      <c r="F62" s="353" t="s">
        <v>797</v>
      </c>
      <c r="G62" s="354"/>
      <c r="H62" s="340">
        <v>6.4</v>
      </c>
      <c r="I62" s="341"/>
      <c r="J62" s="368"/>
      <c r="K62" s="376"/>
      <c r="L62" s="377"/>
      <c r="M62" s="377"/>
      <c r="N62" s="378"/>
      <c r="O62" s="391"/>
      <c r="P62" s="392"/>
      <c r="Q62" s="395">
        <v>710</v>
      </c>
      <c r="R62" s="396"/>
      <c r="S62" s="399"/>
      <c r="T62" s="400"/>
      <c r="U62" s="384">
        <v>1031</v>
      </c>
      <c r="V62" s="385"/>
      <c r="W62" s="385"/>
      <c r="X62" s="385"/>
      <c r="Y62" s="385"/>
      <c r="Z62" s="386"/>
      <c r="AA62" s="384">
        <v>5153</v>
      </c>
      <c r="AB62" s="386"/>
    </row>
    <row r="63" spans="1:31" ht="15.3" customHeight="1" x14ac:dyDescent="0.3">
      <c r="B63" s="379"/>
      <c r="C63" s="381"/>
      <c r="D63" s="393"/>
      <c r="E63" s="394"/>
      <c r="F63" s="353" t="s">
        <v>798</v>
      </c>
      <c r="G63" s="354"/>
      <c r="H63" s="340">
        <v>9</v>
      </c>
      <c r="I63" s="341"/>
      <c r="J63" s="369"/>
      <c r="K63" s="379"/>
      <c r="L63" s="380"/>
      <c r="M63" s="380"/>
      <c r="N63" s="381"/>
      <c r="O63" s="393"/>
      <c r="P63" s="394"/>
      <c r="Q63" s="395">
        <v>720</v>
      </c>
      <c r="R63" s="396"/>
      <c r="S63" s="401"/>
      <c r="T63" s="402"/>
      <c r="U63" s="384">
        <v>1045</v>
      </c>
      <c r="V63" s="385"/>
      <c r="W63" s="385"/>
      <c r="X63" s="385"/>
      <c r="Y63" s="385"/>
      <c r="Z63" s="386"/>
      <c r="AA63" s="384">
        <v>5224</v>
      </c>
      <c r="AB63" s="386"/>
    </row>
    <row r="64" spans="1:31" ht="15.3" customHeight="1" x14ac:dyDescent="0.3">
      <c r="B64" s="373">
        <v>450</v>
      </c>
      <c r="C64" s="375"/>
      <c r="D64" s="389">
        <v>70</v>
      </c>
      <c r="E64" s="390"/>
      <c r="F64" s="353" t="s">
        <v>796</v>
      </c>
      <c r="G64" s="354"/>
      <c r="H64" s="340">
        <v>4.4800000000000004</v>
      </c>
      <c r="I64" s="341"/>
      <c r="J64" s="367">
        <v>190</v>
      </c>
      <c r="K64" s="373">
        <v>390</v>
      </c>
      <c r="L64" s="374"/>
      <c r="M64" s="374"/>
      <c r="N64" s="375"/>
      <c r="O64" s="389">
        <v>836</v>
      </c>
      <c r="P64" s="390"/>
      <c r="Q64" s="395">
        <v>854</v>
      </c>
      <c r="R64" s="396"/>
      <c r="S64" s="355">
        <v>1560</v>
      </c>
      <c r="T64" s="356"/>
      <c r="U64" s="344">
        <v>1592</v>
      </c>
      <c r="V64" s="345"/>
      <c r="W64" s="345"/>
      <c r="X64" s="345"/>
      <c r="Y64" s="345"/>
      <c r="Z64" s="346"/>
      <c r="AA64" s="344">
        <v>7075</v>
      </c>
      <c r="AB64" s="346"/>
    </row>
    <row r="65" spans="2:28" ht="15.3" customHeight="1" x14ac:dyDescent="0.3">
      <c r="B65" s="376"/>
      <c r="C65" s="378"/>
      <c r="D65" s="391"/>
      <c r="E65" s="392"/>
      <c r="F65" s="353" t="s">
        <v>797</v>
      </c>
      <c r="G65" s="354"/>
      <c r="H65" s="340">
        <v>8.9600000000000009</v>
      </c>
      <c r="I65" s="341"/>
      <c r="J65" s="368"/>
      <c r="K65" s="376"/>
      <c r="L65" s="377"/>
      <c r="M65" s="377"/>
      <c r="N65" s="378"/>
      <c r="O65" s="391"/>
      <c r="P65" s="392"/>
      <c r="Q65" s="395">
        <v>872</v>
      </c>
      <c r="R65" s="396"/>
      <c r="S65" s="357"/>
      <c r="T65" s="358"/>
      <c r="U65" s="344">
        <v>1624</v>
      </c>
      <c r="V65" s="345"/>
      <c r="W65" s="345"/>
      <c r="X65" s="345"/>
      <c r="Y65" s="345"/>
      <c r="Z65" s="346"/>
      <c r="AA65" s="344">
        <v>7219</v>
      </c>
      <c r="AB65" s="346"/>
    </row>
    <row r="66" spans="2:28" ht="15.3" customHeight="1" x14ac:dyDescent="0.3">
      <c r="B66" s="379"/>
      <c r="C66" s="381"/>
      <c r="D66" s="393"/>
      <c r="E66" s="394"/>
      <c r="F66" s="353" t="s">
        <v>798</v>
      </c>
      <c r="G66" s="354"/>
      <c r="H66" s="340">
        <v>10.99</v>
      </c>
      <c r="I66" s="341"/>
      <c r="J66" s="369"/>
      <c r="K66" s="379"/>
      <c r="L66" s="380"/>
      <c r="M66" s="380"/>
      <c r="N66" s="381"/>
      <c r="O66" s="393"/>
      <c r="P66" s="394"/>
      <c r="Q66" s="395">
        <v>880</v>
      </c>
      <c r="R66" s="396"/>
      <c r="S66" s="359"/>
      <c r="T66" s="360"/>
      <c r="U66" s="344">
        <v>1639</v>
      </c>
      <c r="V66" s="345"/>
      <c r="W66" s="345"/>
      <c r="X66" s="345"/>
      <c r="Y66" s="345"/>
      <c r="Z66" s="346"/>
      <c r="AA66" s="344">
        <v>7284</v>
      </c>
      <c r="AB66" s="346"/>
    </row>
    <row r="67" spans="2:28" ht="15.3" customHeight="1" x14ac:dyDescent="0.3">
      <c r="B67" s="373">
        <v>500</v>
      </c>
      <c r="C67" s="375"/>
      <c r="D67" s="389">
        <v>80</v>
      </c>
      <c r="E67" s="390"/>
      <c r="F67" s="353" t="s">
        <v>796</v>
      </c>
      <c r="G67" s="354"/>
      <c r="H67" s="340">
        <v>5.12</v>
      </c>
      <c r="I67" s="341"/>
      <c r="J67" s="367">
        <v>215</v>
      </c>
      <c r="K67" s="373">
        <v>440</v>
      </c>
      <c r="L67" s="374"/>
      <c r="M67" s="374"/>
      <c r="N67" s="375"/>
      <c r="O67" s="347">
        <v>1056</v>
      </c>
      <c r="P67" s="348"/>
      <c r="Q67" s="342">
        <v>1076</v>
      </c>
      <c r="R67" s="343"/>
      <c r="S67" s="355">
        <v>2412</v>
      </c>
      <c r="T67" s="356"/>
      <c r="U67" s="344">
        <v>2459</v>
      </c>
      <c r="V67" s="345"/>
      <c r="W67" s="345"/>
      <c r="X67" s="345"/>
      <c r="Y67" s="345"/>
      <c r="Z67" s="346"/>
      <c r="AA67" s="344">
        <v>9837</v>
      </c>
      <c r="AB67" s="346"/>
    </row>
    <row r="68" spans="2:28" ht="15.3" customHeight="1" x14ac:dyDescent="0.3">
      <c r="B68" s="376"/>
      <c r="C68" s="378"/>
      <c r="D68" s="391"/>
      <c r="E68" s="392"/>
      <c r="F68" s="353" t="s">
        <v>797</v>
      </c>
      <c r="G68" s="354"/>
      <c r="H68" s="340">
        <v>10.24</v>
      </c>
      <c r="I68" s="341"/>
      <c r="J68" s="368"/>
      <c r="K68" s="376"/>
      <c r="L68" s="377"/>
      <c r="M68" s="377"/>
      <c r="N68" s="378"/>
      <c r="O68" s="349"/>
      <c r="P68" s="350"/>
      <c r="Q68" s="342">
        <v>1097</v>
      </c>
      <c r="R68" s="343"/>
      <c r="S68" s="357"/>
      <c r="T68" s="358"/>
      <c r="U68" s="344">
        <v>2507</v>
      </c>
      <c r="V68" s="345"/>
      <c r="W68" s="345"/>
      <c r="X68" s="345"/>
      <c r="Y68" s="345"/>
      <c r="Z68" s="346"/>
      <c r="AA68" s="344">
        <v>10030</v>
      </c>
      <c r="AB68" s="346"/>
    </row>
    <row r="69" spans="2:28" ht="15.3" customHeight="1" x14ac:dyDescent="0.3">
      <c r="B69" s="379"/>
      <c r="C69" s="381"/>
      <c r="D69" s="393"/>
      <c r="E69" s="394"/>
      <c r="F69" s="353" t="s">
        <v>798</v>
      </c>
      <c r="G69" s="354"/>
      <c r="H69" s="340">
        <v>14</v>
      </c>
      <c r="I69" s="341"/>
      <c r="J69" s="369"/>
      <c r="K69" s="379"/>
      <c r="L69" s="380"/>
      <c r="M69" s="380"/>
      <c r="N69" s="381"/>
      <c r="O69" s="351"/>
      <c r="P69" s="352"/>
      <c r="Q69" s="342">
        <v>1112</v>
      </c>
      <c r="R69" s="343"/>
      <c r="S69" s="359"/>
      <c r="T69" s="360"/>
      <c r="U69" s="344">
        <v>2541</v>
      </c>
      <c r="V69" s="345"/>
      <c r="W69" s="345"/>
      <c r="X69" s="345"/>
      <c r="Y69" s="345"/>
      <c r="Z69" s="346"/>
      <c r="AA69" s="344">
        <v>10170</v>
      </c>
      <c r="AB69" s="346"/>
    </row>
    <row r="70" spans="2:28" ht="15.3" customHeight="1" x14ac:dyDescent="0.3">
      <c r="B70" s="373">
        <v>600</v>
      </c>
      <c r="C70" s="375"/>
      <c r="D70" s="389">
        <v>90</v>
      </c>
      <c r="E70" s="390"/>
      <c r="F70" s="353" t="s">
        <v>796</v>
      </c>
      <c r="G70" s="354"/>
      <c r="H70" s="340">
        <v>6.93</v>
      </c>
      <c r="I70" s="341"/>
      <c r="J70" s="367">
        <v>260</v>
      </c>
      <c r="K70" s="373">
        <v>530</v>
      </c>
      <c r="L70" s="374"/>
      <c r="M70" s="374"/>
      <c r="N70" s="375"/>
      <c r="O70" s="347">
        <v>1442</v>
      </c>
      <c r="P70" s="348"/>
      <c r="Q70" s="342">
        <v>1470</v>
      </c>
      <c r="R70" s="343"/>
      <c r="S70" s="355">
        <v>4834</v>
      </c>
      <c r="T70" s="356"/>
      <c r="U70" s="344">
        <v>4928</v>
      </c>
      <c r="V70" s="345"/>
      <c r="W70" s="345"/>
      <c r="X70" s="345"/>
      <c r="Y70" s="345"/>
      <c r="Z70" s="346"/>
      <c r="AA70" s="344">
        <v>16430</v>
      </c>
      <c r="AB70" s="346"/>
    </row>
    <row r="71" spans="2:28" ht="15.3" customHeight="1" x14ac:dyDescent="0.3">
      <c r="B71" s="376"/>
      <c r="C71" s="378"/>
      <c r="D71" s="391"/>
      <c r="E71" s="392"/>
      <c r="F71" s="353" t="s">
        <v>797</v>
      </c>
      <c r="G71" s="354"/>
      <c r="H71" s="340">
        <v>14.08</v>
      </c>
      <c r="I71" s="341"/>
      <c r="J71" s="368"/>
      <c r="K71" s="376"/>
      <c r="L71" s="377"/>
      <c r="M71" s="377"/>
      <c r="N71" s="378"/>
      <c r="O71" s="349"/>
      <c r="P71" s="350"/>
      <c r="Q71" s="342">
        <v>1498</v>
      </c>
      <c r="R71" s="343"/>
      <c r="S71" s="357"/>
      <c r="T71" s="358"/>
      <c r="U71" s="344">
        <v>5025</v>
      </c>
      <c r="V71" s="345"/>
      <c r="W71" s="345"/>
      <c r="X71" s="345"/>
      <c r="Y71" s="345"/>
      <c r="Z71" s="346"/>
      <c r="AA71" s="344">
        <v>16750</v>
      </c>
      <c r="AB71" s="346"/>
    </row>
    <row r="72" spans="2:28" ht="15.3" customHeight="1" x14ac:dyDescent="0.3">
      <c r="B72" s="379"/>
      <c r="C72" s="381"/>
      <c r="D72" s="393"/>
      <c r="E72" s="394"/>
      <c r="F72" s="353" t="s">
        <v>798</v>
      </c>
      <c r="G72" s="354"/>
      <c r="H72" s="340">
        <v>18.84</v>
      </c>
      <c r="I72" s="341"/>
      <c r="J72" s="369"/>
      <c r="K72" s="379"/>
      <c r="L72" s="380"/>
      <c r="M72" s="380"/>
      <c r="N72" s="381"/>
      <c r="O72" s="351"/>
      <c r="P72" s="352"/>
      <c r="Q72" s="342">
        <v>1517</v>
      </c>
      <c r="R72" s="343"/>
      <c r="S72" s="359"/>
      <c r="T72" s="360"/>
      <c r="U72" s="344">
        <v>5089</v>
      </c>
      <c r="V72" s="345"/>
      <c r="W72" s="345"/>
      <c r="X72" s="345"/>
      <c r="Y72" s="345"/>
      <c r="Z72" s="346"/>
      <c r="AA72" s="344">
        <v>16960</v>
      </c>
      <c r="AB72" s="346"/>
    </row>
    <row r="73" spans="2:28" ht="15.3" customHeight="1" x14ac:dyDescent="0.3">
      <c r="B73" s="373">
        <v>700</v>
      </c>
      <c r="C73" s="375"/>
      <c r="D73" s="361">
        <v>100</v>
      </c>
      <c r="E73" s="362"/>
      <c r="F73" s="353" t="s">
        <v>796</v>
      </c>
      <c r="G73" s="354"/>
      <c r="H73" s="340">
        <v>9.24</v>
      </c>
      <c r="I73" s="341"/>
      <c r="J73" s="367">
        <v>305</v>
      </c>
      <c r="K73" s="373">
        <v>630</v>
      </c>
      <c r="L73" s="374"/>
      <c r="M73" s="374"/>
      <c r="N73" s="375"/>
      <c r="O73" s="347">
        <v>1885</v>
      </c>
      <c r="P73" s="348"/>
      <c r="Q73" s="342">
        <v>1922</v>
      </c>
      <c r="R73" s="343"/>
      <c r="S73" s="355">
        <v>8718</v>
      </c>
      <c r="T73" s="356"/>
      <c r="U73" s="344">
        <v>8890</v>
      </c>
      <c r="V73" s="345"/>
      <c r="W73" s="345"/>
      <c r="X73" s="345"/>
      <c r="Y73" s="345"/>
      <c r="Z73" s="346"/>
      <c r="AA73" s="344">
        <v>25400</v>
      </c>
      <c r="AB73" s="346"/>
    </row>
    <row r="74" spans="2:28" ht="15.3" customHeight="1" x14ac:dyDescent="0.3">
      <c r="B74" s="376"/>
      <c r="C74" s="378"/>
      <c r="D74" s="363"/>
      <c r="E74" s="364"/>
      <c r="F74" s="353" t="s">
        <v>797</v>
      </c>
      <c r="G74" s="354"/>
      <c r="H74" s="387">
        <v>18.84</v>
      </c>
      <c r="I74" s="388"/>
      <c r="J74" s="368"/>
      <c r="K74" s="376"/>
      <c r="L74" s="377"/>
      <c r="M74" s="377"/>
      <c r="N74" s="378"/>
      <c r="O74" s="349"/>
      <c r="P74" s="350"/>
      <c r="Q74" s="382">
        <v>1960</v>
      </c>
      <c r="R74" s="383"/>
      <c r="S74" s="357"/>
      <c r="T74" s="358"/>
      <c r="U74" s="384">
        <v>9068</v>
      </c>
      <c r="V74" s="385"/>
      <c r="W74" s="385"/>
      <c r="X74" s="385"/>
      <c r="Y74" s="385"/>
      <c r="Z74" s="386"/>
      <c r="AA74" s="384">
        <v>25910</v>
      </c>
      <c r="AB74" s="386"/>
    </row>
    <row r="75" spans="2:28" ht="15.3" customHeight="1" x14ac:dyDescent="0.3">
      <c r="B75" s="379"/>
      <c r="C75" s="381"/>
      <c r="D75" s="365"/>
      <c r="E75" s="366"/>
      <c r="F75" s="353" t="s">
        <v>798</v>
      </c>
      <c r="G75" s="354"/>
      <c r="H75" s="387">
        <v>25.12</v>
      </c>
      <c r="I75" s="388"/>
      <c r="J75" s="369"/>
      <c r="K75" s="379"/>
      <c r="L75" s="380"/>
      <c r="M75" s="380"/>
      <c r="N75" s="381"/>
      <c r="O75" s="351"/>
      <c r="P75" s="352"/>
      <c r="Q75" s="382">
        <v>1985</v>
      </c>
      <c r="R75" s="383"/>
      <c r="S75" s="359"/>
      <c r="T75" s="360"/>
      <c r="U75" s="384">
        <v>9185</v>
      </c>
      <c r="V75" s="385"/>
      <c r="W75" s="385"/>
      <c r="X75" s="385"/>
      <c r="Y75" s="385"/>
      <c r="Z75" s="386"/>
      <c r="AA75" s="384">
        <v>26240</v>
      </c>
      <c r="AB75" s="386"/>
    </row>
    <row r="76" spans="2:28" ht="15.3" customHeight="1" x14ac:dyDescent="0.3">
      <c r="B76" s="373">
        <v>800</v>
      </c>
      <c r="C76" s="375"/>
      <c r="D76" s="361">
        <v>110</v>
      </c>
      <c r="E76" s="362"/>
      <c r="F76" s="353" t="s">
        <v>796</v>
      </c>
      <c r="G76" s="354"/>
      <c r="H76" s="340">
        <v>12.31</v>
      </c>
      <c r="I76" s="341"/>
      <c r="J76" s="367">
        <v>350</v>
      </c>
      <c r="K76" s="373">
        <v>720</v>
      </c>
      <c r="L76" s="374"/>
      <c r="M76" s="374"/>
      <c r="N76" s="375"/>
      <c r="O76" s="347">
        <v>2384</v>
      </c>
      <c r="P76" s="348"/>
      <c r="Q76" s="342">
        <v>2434</v>
      </c>
      <c r="R76" s="343"/>
      <c r="S76" s="347">
        <v>14550</v>
      </c>
      <c r="T76" s="348"/>
      <c r="U76" s="344">
        <v>14850</v>
      </c>
      <c r="V76" s="345"/>
      <c r="W76" s="345"/>
      <c r="X76" s="345"/>
      <c r="Y76" s="345"/>
      <c r="Z76" s="346"/>
      <c r="AA76" s="344">
        <v>37130</v>
      </c>
      <c r="AB76" s="346"/>
    </row>
    <row r="77" spans="2:28" ht="15.3" customHeight="1" x14ac:dyDescent="0.3">
      <c r="B77" s="376"/>
      <c r="C77" s="378"/>
      <c r="D77" s="363"/>
      <c r="E77" s="364"/>
      <c r="F77" s="353" t="s">
        <v>797</v>
      </c>
      <c r="G77" s="354"/>
      <c r="H77" s="340">
        <v>25.12</v>
      </c>
      <c r="I77" s="341"/>
      <c r="J77" s="368"/>
      <c r="K77" s="376"/>
      <c r="L77" s="377"/>
      <c r="M77" s="377"/>
      <c r="N77" s="378"/>
      <c r="O77" s="349"/>
      <c r="P77" s="350"/>
      <c r="Q77" s="342">
        <v>2485</v>
      </c>
      <c r="R77" s="343"/>
      <c r="S77" s="349"/>
      <c r="T77" s="350"/>
      <c r="U77" s="344">
        <v>15170</v>
      </c>
      <c r="V77" s="345"/>
      <c r="W77" s="345"/>
      <c r="X77" s="345"/>
      <c r="Y77" s="345"/>
      <c r="Z77" s="346"/>
      <c r="AA77" s="344">
        <v>37920</v>
      </c>
      <c r="AB77" s="346"/>
    </row>
    <row r="78" spans="2:28" ht="15.3" customHeight="1" x14ac:dyDescent="0.3">
      <c r="B78" s="379"/>
      <c r="C78" s="381"/>
      <c r="D78" s="365"/>
      <c r="E78" s="366"/>
      <c r="F78" s="353" t="s">
        <v>798</v>
      </c>
      <c r="G78" s="354"/>
      <c r="H78" s="340">
        <v>32</v>
      </c>
      <c r="I78" s="341"/>
      <c r="J78" s="369"/>
      <c r="K78" s="379"/>
      <c r="L78" s="380"/>
      <c r="M78" s="380"/>
      <c r="N78" s="381"/>
      <c r="O78" s="351"/>
      <c r="P78" s="352"/>
      <c r="Q78" s="342">
        <v>2512</v>
      </c>
      <c r="R78" s="343"/>
      <c r="S78" s="351"/>
      <c r="T78" s="352"/>
      <c r="U78" s="344">
        <v>15340</v>
      </c>
      <c r="V78" s="345"/>
      <c r="W78" s="345"/>
      <c r="X78" s="345"/>
      <c r="Y78" s="345"/>
      <c r="Z78" s="346"/>
      <c r="AA78" s="344">
        <v>38340</v>
      </c>
      <c r="AB78" s="346"/>
    </row>
    <row r="79" spans="2:28" ht="15.3" customHeight="1" x14ac:dyDescent="0.3">
      <c r="B79" s="373">
        <v>900</v>
      </c>
      <c r="C79" s="375"/>
      <c r="D79" s="361">
        <v>120</v>
      </c>
      <c r="E79" s="362"/>
      <c r="F79" s="353" t="s">
        <v>796</v>
      </c>
      <c r="G79" s="354"/>
      <c r="H79" s="340">
        <v>15.3</v>
      </c>
      <c r="I79" s="341"/>
      <c r="J79" s="367">
        <v>395</v>
      </c>
      <c r="K79" s="373">
        <v>810</v>
      </c>
      <c r="L79" s="374"/>
      <c r="M79" s="374"/>
      <c r="N79" s="375"/>
      <c r="O79" s="347">
        <v>2941</v>
      </c>
      <c r="P79" s="348"/>
      <c r="Q79" s="342">
        <v>3002</v>
      </c>
      <c r="R79" s="343"/>
      <c r="S79" s="347">
        <v>22890</v>
      </c>
      <c r="T79" s="348"/>
      <c r="U79" s="344">
        <v>23370</v>
      </c>
      <c r="V79" s="345"/>
      <c r="W79" s="345"/>
      <c r="X79" s="345"/>
      <c r="Y79" s="345"/>
      <c r="Z79" s="346"/>
      <c r="AA79" s="344">
        <v>51930</v>
      </c>
      <c r="AB79" s="346"/>
    </row>
    <row r="80" spans="2:28" ht="15.3" customHeight="1" x14ac:dyDescent="0.3">
      <c r="B80" s="376"/>
      <c r="C80" s="378"/>
      <c r="D80" s="363"/>
      <c r="E80" s="364"/>
      <c r="F80" s="353" t="s">
        <v>797</v>
      </c>
      <c r="G80" s="354"/>
      <c r="H80" s="340">
        <v>29.83</v>
      </c>
      <c r="I80" s="341"/>
      <c r="J80" s="368"/>
      <c r="K80" s="376"/>
      <c r="L80" s="377"/>
      <c r="M80" s="377"/>
      <c r="N80" s="378"/>
      <c r="O80" s="349"/>
      <c r="P80" s="350"/>
      <c r="Q80" s="342">
        <v>3060</v>
      </c>
      <c r="R80" s="343"/>
      <c r="S80" s="349"/>
      <c r="T80" s="350"/>
      <c r="U80" s="344">
        <v>23820</v>
      </c>
      <c r="V80" s="345"/>
      <c r="W80" s="345"/>
      <c r="X80" s="345"/>
      <c r="Y80" s="345"/>
      <c r="Z80" s="346"/>
      <c r="AA80" s="344">
        <v>52940</v>
      </c>
      <c r="AB80" s="346"/>
    </row>
    <row r="81" spans="2:28" ht="15.3" customHeight="1" x14ac:dyDescent="0.3">
      <c r="B81" s="379"/>
      <c r="C81" s="381"/>
      <c r="D81" s="365"/>
      <c r="E81" s="366"/>
      <c r="F81" s="353" t="s">
        <v>798</v>
      </c>
      <c r="G81" s="354"/>
      <c r="H81" s="340">
        <v>38</v>
      </c>
      <c r="I81" s="341"/>
      <c r="J81" s="369"/>
      <c r="K81" s="379"/>
      <c r="L81" s="380"/>
      <c r="M81" s="380"/>
      <c r="N81" s="381"/>
      <c r="O81" s="351"/>
      <c r="P81" s="352"/>
      <c r="Q81" s="342">
        <v>3093</v>
      </c>
      <c r="R81" s="343"/>
      <c r="S81" s="351"/>
      <c r="T81" s="352"/>
      <c r="U81" s="344">
        <v>24080</v>
      </c>
      <c r="V81" s="345"/>
      <c r="W81" s="345"/>
      <c r="X81" s="345"/>
      <c r="Y81" s="345"/>
      <c r="Z81" s="346"/>
      <c r="AA81" s="344">
        <v>53510</v>
      </c>
      <c r="AB81" s="346"/>
    </row>
    <row r="82" spans="2:28" ht="15.3" customHeight="1" x14ac:dyDescent="0.3">
      <c r="B82" s="355">
        <v>1000</v>
      </c>
      <c r="C82" s="356"/>
      <c r="D82" s="361">
        <v>130</v>
      </c>
      <c r="E82" s="362"/>
      <c r="F82" s="353" t="s">
        <v>796</v>
      </c>
      <c r="G82" s="354"/>
      <c r="H82" s="340">
        <v>18</v>
      </c>
      <c r="I82" s="341"/>
      <c r="J82" s="367">
        <v>440</v>
      </c>
      <c r="K82" s="373">
        <v>900</v>
      </c>
      <c r="L82" s="374"/>
      <c r="M82" s="374"/>
      <c r="N82" s="375"/>
      <c r="O82" s="347">
        <v>3553</v>
      </c>
      <c r="P82" s="348"/>
      <c r="Q82" s="342">
        <v>3625</v>
      </c>
      <c r="R82" s="343"/>
      <c r="S82" s="347">
        <v>34370</v>
      </c>
      <c r="T82" s="348"/>
      <c r="U82" s="344">
        <v>35060</v>
      </c>
      <c r="V82" s="345"/>
      <c r="W82" s="345"/>
      <c r="X82" s="345"/>
      <c r="Y82" s="345"/>
      <c r="Z82" s="346"/>
      <c r="AA82" s="344">
        <v>70130</v>
      </c>
      <c r="AB82" s="346"/>
    </row>
    <row r="83" spans="2:28" ht="15.3" customHeight="1" x14ac:dyDescent="0.3">
      <c r="B83" s="357"/>
      <c r="C83" s="358"/>
      <c r="D83" s="363"/>
      <c r="E83" s="364"/>
      <c r="F83" s="353" t="s">
        <v>797</v>
      </c>
      <c r="G83" s="354"/>
      <c r="H83" s="340">
        <v>36</v>
      </c>
      <c r="I83" s="341"/>
      <c r="J83" s="368"/>
      <c r="K83" s="376"/>
      <c r="L83" s="377"/>
      <c r="M83" s="377"/>
      <c r="N83" s="378"/>
      <c r="O83" s="349"/>
      <c r="P83" s="350"/>
      <c r="Q83" s="342">
        <v>3697</v>
      </c>
      <c r="R83" s="343"/>
      <c r="S83" s="349"/>
      <c r="T83" s="350"/>
      <c r="U83" s="344">
        <v>35760</v>
      </c>
      <c r="V83" s="345"/>
      <c r="W83" s="345"/>
      <c r="X83" s="345"/>
      <c r="Y83" s="345"/>
      <c r="Z83" s="346"/>
      <c r="AA83" s="344">
        <v>71520</v>
      </c>
      <c r="AB83" s="346"/>
    </row>
    <row r="84" spans="2:28" ht="15.3" customHeight="1" x14ac:dyDescent="0.3">
      <c r="B84" s="359"/>
      <c r="C84" s="360"/>
      <c r="D84" s="365"/>
      <c r="E84" s="366"/>
      <c r="F84" s="353" t="s">
        <v>798</v>
      </c>
      <c r="G84" s="354"/>
      <c r="H84" s="340">
        <v>46</v>
      </c>
      <c r="I84" s="341"/>
      <c r="J84" s="369"/>
      <c r="K84" s="379"/>
      <c r="L84" s="380"/>
      <c r="M84" s="380"/>
      <c r="N84" s="381"/>
      <c r="O84" s="351"/>
      <c r="P84" s="352"/>
      <c r="Q84" s="342">
        <v>3737</v>
      </c>
      <c r="R84" s="343"/>
      <c r="S84" s="351"/>
      <c r="T84" s="352"/>
      <c r="U84" s="344">
        <v>36150</v>
      </c>
      <c r="V84" s="345"/>
      <c r="W84" s="345"/>
      <c r="X84" s="345"/>
      <c r="Y84" s="345"/>
      <c r="Z84" s="346"/>
      <c r="AA84" s="344">
        <v>72300</v>
      </c>
      <c r="AB84" s="346"/>
    </row>
    <row r="85" spans="2:28" ht="15.3" customHeight="1" x14ac:dyDescent="0.3">
      <c r="B85" s="355">
        <v>1100</v>
      </c>
      <c r="C85" s="356"/>
      <c r="D85" s="361">
        <v>140</v>
      </c>
      <c r="E85" s="362"/>
      <c r="F85" s="353" t="s">
        <v>796</v>
      </c>
      <c r="G85" s="354"/>
      <c r="H85" s="340">
        <v>22</v>
      </c>
      <c r="I85" s="341"/>
      <c r="J85" s="367">
        <v>490</v>
      </c>
      <c r="K85" s="355">
        <v>1000</v>
      </c>
      <c r="L85" s="370"/>
      <c r="M85" s="370"/>
      <c r="N85" s="356"/>
      <c r="O85" s="347">
        <v>4222</v>
      </c>
      <c r="P85" s="348"/>
      <c r="Q85" s="342">
        <v>4310</v>
      </c>
      <c r="R85" s="343"/>
      <c r="S85" s="347">
        <v>49680</v>
      </c>
      <c r="T85" s="348"/>
      <c r="U85" s="344">
        <v>50730</v>
      </c>
      <c r="V85" s="345"/>
      <c r="W85" s="345"/>
      <c r="X85" s="345"/>
      <c r="Y85" s="345"/>
      <c r="Z85" s="346"/>
      <c r="AA85" s="344">
        <v>92240</v>
      </c>
      <c r="AB85" s="346"/>
    </row>
    <row r="86" spans="2:28" ht="15.3" customHeight="1" x14ac:dyDescent="0.3">
      <c r="B86" s="357"/>
      <c r="C86" s="358"/>
      <c r="D86" s="363"/>
      <c r="E86" s="364"/>
      <c r="F86" s="353" t="s">
        <v>797</v>
      </c>
      <c r="G86" s="354"/>
      <c r="H86" s="340">
        <v>44</v>
      </c>
      <c r="I86" s="341"/>
      <c r="J86" s="368"/>
      <c r="K86" s="357"/>
      <c r="L86" s="371"/>
      <c r="M86" s="371"/>
      <c r="N86" s="358"/>
      <c r="O86" s="349"/>
      <c r="P86" s="350"/>
      <c r="Q86" s="342">
        <v>4398</v>
      </c>
      <c r="R86" s="343"/>
      <c r="S86" s="349"/>
      <c r="T86" s="350"/>
      <c r="U86" s="344">
        <v>51790</v>
      </c>
      <c r="V86" s="345"/>
      <c r="W86" s="345"/>
      <c r="X86" s="345"/>
      <c r="Y86" s="345"/>
      <c r="Z86" s="346"/>
      <c r="AA86" s="344">
        <v>94160</v>
      </c>
      <c r="AB86" s="346"/>
    </row>
    <row r="87" spans="2:28" ht="15.3" customHeight="1" x14ac:dyDescent="0.3">
      <c r="B87" s="359"/>
      <c r="C87" s="360"/>
      <c r="D87" s="365"/>
      <c r="E87" s="366"/>
      <c r="F87" s="353" t="s">
        <v>798</v>
      </c>
      <c r="G87" s="354"/>
      <c r="H87" s="340">
        <v>55</v>
      </c>
      <c r="I87" s="341"/>
      <c r="J87" s="369"/>
      <c r="K87" s="359"/>
      <c r="L87" s="372"/>
      <c r="M87" s="372"/>
      <c r="N87" s="360"/>
      <c r="O87" s="351"/>
      <c r="P87" s="352"/>
      <c r="Q87" s="342">
        <v>4442</v>
      </c>
      <c r="R87" s="343"/>
      <c r="S87" s="351"/>
      <c r="T87" s="352"/>
      <c r="U87" s="344">
        <v>52320</v>
      </c>
      <c r="V87" s="345"/>
      <c r="W87" s="345"/>
      <c r="X87" s="345"/>
      <c r="Y87" s="345"/>
      <c r="Z87" s="346"/>
      <c r="AA87" s="344">
        <v>95120</v>
      </c>
      <c r="AB87" s="346"/>
    </row>
    <row r="88" spans="2:28" ht="15.3" customHeight="1" x14ac:dyDescent="0.3">
      <c r="B88" s="355">
        <v>1200</v>
      </c>
      <c r="C88" s="356"/>
      <c r="D88" s="361">
        <v>150</v>
      </c>
      <c r="E88" s="362"/>
      <c r="F88" s="353" t="s">
        <v>796</v>
      </c>
      <c r="G88" s="354"/>
      <c r="H88" s="340">
        <v>26</v>
      </c>
      <c r="I88" s="341"/>
      <c r="J88" s="367">
        <v>540</v>
      </c>
      <c r="K88" s="355">
        <v>1100</v>
      </c>
      <c r="L88" s="370"/>
      <c r="M88" s="370"/>
      <c r="N88" s="356"/>
      <c r="O88" s="347">
        <v>4948</v>
      </c>
      <c r="P88" s="348"/>
      <c r="Q88" s="342">
        <v>5052</v>
      </c>
      <c r="R88" s="343"/>
      <c r="S88" s="347">
        <v>69580</v>
      </c>
      <c r="T88" s="348"/>
      <c r="U88" s="344">
        <v>71100</v>
      </c>
      <c r="V88" s="345"/>
      <c r="W88" s="345"/>
      <c r="X88" s="345"/>
      <c r="Y88" s="345"/>
      <c r="Z88" s="346"/>
      <c r="AA88" s="344">
        <v>118500</v>
      </c>
      <c r="AB88" s="346"/>
    </row>
    <row r="89" spans="2:28" ht="15.3" customHeight="1" x14ac:dyDescent="0.3">
      <c r="B89" s="357"/>
      <c r="C89" s="358"/>
      <c r="D89" s="363"/>
      <c r="E89" s="364"/>
      <c r="F89" s="353" t="s">
        <v>797</v>
      </c>
      <c r="G89" s="354"/>
      <c r="H89" s="340">
        <v>50</v>
      </c>
      <c r="I89" s="341"/>
      <c r="J89" s="368"/>
      <c r="K89" s="357"/>
      <c r="L89" s="371"/>
      <c r="M89" s="371"/>
      <c r="N89" s="358"/>
      <c r="O89" s="349"/>
      <c r="P89" s="350"/>
      <c r="Q89" s="342">
        <v>5148</v>
      </c>
      <c r="R89" s="343"/>
      <c r="S89" s="349"/>
      <c r="T89" s="350"/>
      <c r="U89" s="344">
        <v>72500</v>
      </c>
      <c r="V89" s="345"/>
      <c r="W89" s="345"/>
      <c r="X89" s="345"/>
      <c r="Y89" s="345"/>
      <c r="Z89" s="346"/>
      <c r="AA89" s="344">
        <v>120800</v>
      </c>
      <c r="AB89" s="346"/>
    </row>
    <row r="90" spans="2:28" ht="15.3" customHeight="1" x14ac:dyDescent="0.3">
      <c r="B90" s="359"/>
      <c r="C90" s="360"/>
      <c r="D90" s="365"/>
      <c r="E90" s="366"/>
      <c r="F90" s="353" t="s">
        <v>798</v>
      </c>
      <c r="G90" s="354"/>
      <c r="H90" s="340">
        <v>64</v>
      </c>
      <c r="I90" s="341"/>
      <c r="J90" s="369"/>
      <c r="K90" s="359"/>
      <c r="L90" s="372"/>
      <c r="M90" s="372"/>
      <c r="N90" s="360"/>
      <c r="O90" s="351"/>
      <c r="P90" s="352"/>
      <c r="Q90" s="342">
        <v>5204</v>
      </c>
      <c r="R90" s="343"/>
      <c r="S90" s="351"/>
      <c r="T90" s="352"/>
      <c r="U90" s="344">
        <v>73310</v>
      </c>
      <c r="V90" s="345"/>
      <c r="W90" s="345"/>
      <c r="X90" s="345"/>
      <c r="Y90" s="345"/>
      <c r="Z90" s="346"/>
      <c r="AA90" s="344">
        <v>122200</v>
      </c>
      <c r="AB90" s="346"/>
    </row>
    <row r="91" spans="2:28" ht="15.3" customHeight="1" x14ac:dyDescent="0.3"/>
    <row r="92" spans="2:28" ht="15.3" customHeight="1" x14ac:dyDescent="0.3"/>
    <row r="93" spans="2:28" ht="15.3" customHeight="1" x14ac:dyDescent="0.3"/>
  </sheetData>
  <mergeCells count="267">
    <mergeCell ref="B12:AE12"/>
    <mergeCell ref="B52:AE52"/>
    <mergeCell ref="B53:C54"/>
    <mergeCell ref="D53:E54"/>
    <mergeCell ref="F53:G54"/>
    <mergeCell ref="H53:J53"/>
    <mergeCell ref="K53:N54"/>
    <mergeCell ref="O53:R53"/>
    <mergeCell ref="S53:Z53"/>
    <mergeCell ref="AA53:AB54"/>
    <mergeCell ref="H54:I54"/>
    <mergeCell ref="O54:P54"/>
    <mergeCell ref="Q54:R54"/>
    <mergeCell ref="S54:T54"/>
    <mergeCell ref="U54:Z54"/>
    <mergeCell ref="B55:C57"/>
    <mergeCell ref="D55:E57"/>
    <mergeCell ref="F55:G55"/>
    <mergeCell ref="H55:I55"/>
    <mergeCell ref="J55:J57"/>
    <mergeCell ref="K55:N57"/>
    <mergeCell ref="F57:G57"/>
    <mergeCell ref="H57:I57"/>
    <mergeCell ref="Q57:R57"/>
    <mergeCell ref="U57:Z57"/>
    <mergeCell ref="AA57:AB57"/>
    <mergeCell ref="B58:C60"/>
    <mergeCell ref="D58:E60"/>
    <mergeCell ref="F58:G58"/>
    <mergeCell ref="H58:I58"/>
    <mergeCell ref="J58:J60"/>
    <mergeCell ref="O55:P57"/>
    <mergeCell ref="Q55:R55"/>
    <mergeCell ref="S55:T57"/>
    <mergeCell ref="U55:Z55"/>
    <mergeCell ref="AA55:AB55"/>
    <mergeCell ref="F56:G56"/>
    <mergeCell ref="H56:I56"/>
    <mergeCell ref="Q56:R56"/>
    <mergeCell ref="U56:Z56"/>
    <mergeCell ref="AA56:AB56"/>
    <mergeCell ref="J61:J63"/>
    <mergeCell ref="K61:N63"/>
    <mergeCell ref="F63:G63"/>
    <mergeCell ref="H63:I63"/>
    <mergeCell ref="F59:G59"/>
    <mergeCell ref="H59:I59"/>
    <mergeCell ref="Q59:R59"/>
    <mergeCell ref="U59:Z59"/>
    <mergeCell ref="AA59:AB59"/>
    <mergeCell ref="F60:G60"/>
    <mergeCell ref="H60:I60"/>
    <mergeCell ref="Q60:R60"/>
    <mergeCell ref="U60:Z60"/>
    <mergeCell ref="AA60:AB60"/>
    <mergeCell ref="K58:N60"/>
    <mergeCell ref="O58:P60"/>
    <mergeCell ref="Q58:R58"/>
    <mergeCell ref="S58:T60"/>
    <mergeCell ref="U58:Z58"/>
    <mergeCell ref="AA58:AB58"/>
    <mergeCell ref="Q63:R63"/>
    <mergeCell ref="U63:Z63"/>
    <mergeCell ref="AA63:AB63"/>
    <mergeCell ref="B64:C66"/>
    <mergeCell ref="D64:E66"/>
    <mergeCell ref="F64:G64"/>
    <mergeCell ref="H64:I64"/>
    <mergeCell ref="J64:J66"/>
    <mergeCell ref="K64:N66"/>
    <mergeCell ref="O64:P66"/>
    <mergeCell ref="O61:P63"/>
    <mergeCell ref="Q61:R61"/>
    <mergeCell ref="S61:T63"/>
    <mergeCell ref="U61:Z61"/>
    <mergeCell ref="AA61:AB61"/>
    <mergeCell ref="F62:G62"/>
    <mergeCell ref="H62:I62"/>
    <mergeCell ref="Q62:R62"/>
    <mergeCell ref="U62:Z62"/>
    <mergeCell ref="AA62:AB62"/>
    <mergeCell ref="B61:C63"/>
    <mergeCell ref="D61:E63"/>
    <mergeCell ref="F61:G61"/>
    <mergeCell ref="H61:I61"/>
    <mergeCell ref="Q64:R64"/>
    <mergeCell ref="S64:T66"/>
    <mergeCell ref="U64:Z64"/>
    <mergeCell ref="AA64:AB64"/>
    <mergeCell ref="F65:G65"/>
    <mergeCell ref="H65:I65"/>
    <mergeCell ref="Q65:R65"/>
    <mergeCell ref="U65:Z65"/>
    <mergeCell ref="AA65:AB65"/>
    <mergeCell ref="F66:G66"/>
    <mergeCell ref="H66:I66"/>
    <mergeCell ref="Q66:R66"/>
    <mergeCell ref="U66:Z66"/>
    <mergeCell ref="AA66:AB66"/>
    <mergeCell ref="B67:C69"/>
    <mergeCell ref="D67:E69"/>
    <mergeCell ref="F67:G67"/>
    <mergeCell ref="H67:I67"/>
    <mergeCell ref="J67:J69"/>
    <mergeCell ref="K67:N69"/>
    <mergeCell ref="F69:G69"/>
    <mergeCell ref="H69:I69"/>
    <mergeCell ref="Q69:R69"/>
    <mergeCell ref="U69:Z69"/>
    <mergeCell ref="AA69:AB69"/>
    <mergeCell ref="B70:C72"/>
    <mergeCell ref="D70:E72"/>
    <mergeCell ref="F70:G70"/>
    <mergeCell ref="H70:I70"/>
    <mergeCell ref="J70:J72"/>
    <mergeCell ref="O67:P69"/>
    <mergeCell ref="Q67:R67"/>
    <mergeCell ref="S67:T69"/>
    <mergeCell ref="U67:Z67"/>
    <mergeCell ref="AA67:AB67"/>
    <mergeCell ref="F68:G68"/>
    <mergeCell ref="H68:I68"/>
    <mergeCell ref="Q68:R68"/>
    <mergeCell ref="U68:Z68"/>
    <mergeCell ref="AA68:AB68"/>
    <mergeCell ref="J73:J75"/>
    <mergeCell ref="K73:N75"/>
    <mergeCell ref="F75:G75"/>
    <mergeCell ref="H75:I75"/>
    <mergeCell ref="F71:G71"/>
    <mergeCell ref="H71:I71"/>
    <mergeCell ref="Q71:R71"/>
    <mergeCell ref="U71:Z71"/>
    <mergeCell ref="AA71:AB71"/>
    <mergeCell ref="F72:G72"/>
    <mergeCell ref="H72:I72"/>
    <mergeCell ref="Q72:R72"/>
    <mergeCell ref="U72:Z72"/>
    <mergeCell ref="AA72:AB72"/>
    <mergeCell ref="K70:N72"/>
    <mergeCell ref="O70:P72"/>
    <mergeCell ref="Q70:R70"/>
    <mergeCell ref="S70:T72"/>
    <mergeCell ref="U70:Z70"/>
    <mergeCell ref="AA70:AB70"/>
    <mergeCell ref="Q75:R75"/>
    <mergeCell ref="U75:Z75"/>
    <mergeCell ref="AA75:AB75"/>
    <mergeCell ref="B76:C78"/>
    <mergeCell ref="D76:E78"/>
    <mergeCell ref="F76:G76"/>
    <mergeCell ref="H76:I76"/>
    <mergeCell ref="J76:J78"/>
    <mergeCell ref="K76:N78"/>
    <mergeCell ref="O76:P78"/>
    <mergeCell ref="O73:P75"/>
    <mergeCell ref="Q73:R73"/>
    <mergeCell ref="S73:T75"/>
    <mergeCell ref="U73:Z73"/>
    <mergeCell ref="AA73:AB73"/>
    <mergeCell ref="F74:G74"/>
    <mergeCell ref="H74:I74"/>
    <mergeCell ref="Q74:R74"/>
    <mergeCell ref="U74:Z74"/>
    <mergeCell ref="AA74:AB74"/>
    <mergeCell ref="B73:C75"/>
    <mergeCell ref="D73:E75"/>
    <mergeCell ref="F73:G73"/>
    <mergeCell ref="H73:I73"/>
    <mergeCell ref="Q76:R76"/>
    <mergeCell ref="S76:T78"/>
    <mergeCell ref="U76:Z76"/>
    <mergeCell ref="AA76:AB76"/>
    <mergeCell ref="F77:G77"/>
    <mergeCell ref="H77:I77"/>
    <mergeCell ref="Q77:R77"/>
    <mergeCell ref="U77:Z77"/>
    <mergeCell ref="AA77:AB77"/>
    <mergeCell ref="F78:G78"/>
    <mergeCell ref="H78:I78"/>
    <mergeCell ref="Q78:R78"/>
    <mergeCell ref="U78:Z78"/>
    <mergeCell ref="AA78:AB78"/>
    <mergeCell ref="B79:C81"/>
    <mergeCell ref="D79:E81"/>
    <mergeCell ref="F79:G79"/>
    <mergeCell ref="H79:I79"/>
    <mergeCell ref="J79:J81"/>
    <mergeCell ref="K79:N81"/>
    <mergeCell ref="F81:G81"/>
    <mergeCell ref="H81:I81"/>
    <mergeCell ref="Q81:R81"/>
    <mergeCell ref="U81:Z81"/>
    <mergeCell ref="AA81:AB81"/>
    <mergeCell ref="B82:C84"/>
    <mergeCell ref="D82:E84"/>
    <mergeCell ref="F82:G82"/>
    <mergeCell ref="H82:I82"/>
    <mergeCell ref="J82:J84"/>
    <mergeCell ref="O79:P81"/>
    <mergeCell ref="Q79:R79"/>
    <mergeCell ref="S79:T81"/>
    <mergeCell ref="U79:Z79"/>
    <mergeCell ref="AA79:AB79"/>
    <mergeCell ref="F80:G80"/>
    <mergeCell ref="H80:I80"/>
    <mergeCell ref="Q80:R80"/>
    <mergeCell ref="U80:Z80"/>
    <mergeCell ref="AA80:AB80"/>
    <mergeCell ref="J85:J87"/>
    <mergeCell ref="K85:N87"/>
    <mergeCell ref="F87:G87"/>
    <mergeCell ref="H87:I87"/>
    <mergeCell ref="F83:G83"/>
    <mergeCell ref="H83:I83"/>
    <mergeCell ref="Q83:R83"/>
    <mergeCell ref="U83:Z83"/>
    <mergeCell ref="AA83:AB83"/>
    <mergeCell ref="F84:G84"/>
    <mergeCell ref="H84:I84"/>
    <mergeCell ref="Q84:R84"/>
    <mergeCell ref="U84:Z84"/>
    <mergeCell ref="AA84:AB84"/>
    <mergeCell ref="K82:N84"/>
    <mergeCell ref="O82:P84"/>
    <mergeCell ref="Q82:R82"/>
    <mergeCell ref="S82:T84"/>
    <mergeCell ref="U82:Z82"/>
    <mergeCell ref="AA82:AB82"/>
    <mergeCell ref="Q87:R87"/>
    <mergeCell ref="U87:Z87"/>
    <mergeCell ref="AA87:AB87"/>
    <mergeCell ref="B88:C90"/>
    <mergeCell ref="D88:E90"/>
    <mergeCell ref="F88:G88"/>
    <mergeCell ref="H88:I88"/>
    <mergeCell ref="J88:J90"/>
    <mergeCell ref="K88:N90"/>
    <mergeCell ref="O88:P90"/>
    <mergeCell ref="O85:P87"/>
    <mergeCell ref="Q85:R85"/>
    <mergeCell ref="S85:T87"/>
    <mergeCell ref="U85:Z85"/>
    <mergeCell ref="AA85:AB85"/>
    <mergeCell ref="F86:G86"/>
    <mergeCell ref="H86:I86"/>
    <mergeCell ref="Q86:R86"/>
    <mergeCell ref="U86:Z86"/>
    <mergeCell ref="AA86:AB86"/>
    <mergeCell ref="B85:C87"/>
    <mergeCell ref="D85:E87"/>
    <mergeCell ref="F85:G85"/>
    <mergeCell ref="H85:I85"/>
    <mergeCell ref="H90:I90"/>
    <mergeCell ref="Q90:R90"/>
    <mergeCell ref="U90:Z90"/>
    <mergeCell ref="AA90:AB90"/>
    <mergeCell ref="Q88:R88"/>
    <mergeCell ref="S88:T90"/>
    <mergeCell ref="U88:Z88"/>
    <mergeCell ref="AA88:AB88"/>
    <mergeCell ref="F89:G89"/>
    <mergeCell ref="H89:I89"/>
    <mergeCell ref="Q89:R89"/>
    <mergeCell ref="U89:Z89"/>
    <mergeCell ref="AA89:AB89"/>
    <mergeCell ref="F90:G90"/>
  </mergeCells>
  <phoneticPr fontId="2"/>
  <pageMargins left="0.7" right="0.7" top="0.75" bottom="0.75" header="0.3" footer="0.3"/>
  <pageSetup paperSize="9" orientation="portrait" copies="0" r:id="rId1"/>
  <headerFooter>
    <oddFooter>&amp;C&amp;1#&amp;"Calibri"&amp;10&amp;K000000Confidential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B1:AH104"/>
  <sheetViews>
    <sheetView topLeftCell="A4" workbookViewId="0">
      <selection activeCell="H7" sqref="H7"/>
    </sheetView>
  </sheetViews>
  <sheetFormatPr defaultColWidth="7.1015625" defaultRowHeight="15" x14ac:dyDescent="0.55000000000000004"/>
  <cols>
    <col min="1" max="1" width="7.1015625" style="196"/>
    <col min="2" max="3" width="12.47265625" style="196" customWidth="1"/>
    <col min="4" max="4" width="10.3671875" style="196" customWidth="1"/>
    <col min="5" max="5" width="11.26171875" style="196" customWidth="1"/>
    <col min="6" max="6" width="15" style="196" customWidth="1"/>
    <col min="7" max="13" width="12.47265625" style="196" customWidth="1"/>
    <col min="14" max="15" width="10.578125" style="196" customWidth="1"/>
    <col min="16" max="17" width="7.20703125" style="196" bestFit="1" customWidth="1"/>
    <col min="18" max="16384" width="7.1015625" style="196"/>
  </cols>
  <sheetData>
    <row r="1" spans="2:34" x14ac:dyDescent="0.55000000000000004">
      <c r="B1" s="196" t="s">
        <v>213</v>
      </c>
    </row>
    <row r="3" spans="2:34" x14ac:dyDescent="0.55000000000000004">
      <c r="B3" s="196" t="s">
        <v>214</v>
      </c>
    </row>
    <row r="4" spans="2:34" x14ac:dyDescent="0.55000000000000004">
      <c r="B4" s="196" t="s">
        <v>215</v>
      </c>
    </row>
    <row r="5" spans="2:34" x14ac:dyDescent="0.55000000000000004">
      <c r="B5" s="197" t="s">
        <v>216</v>
      </c>
      <c r="C5" s="197" t="s">
        <v>630</v>
      </c>
      <c r="D5" s="197" t="s">
        <v>631</v>
      </c>
      <c r="E5" s="197" t="s">
        <v>632</v>
      </c>
      <c r="F5" s="197" t="s">
        <v>633</v>
      </c>
      <c r="G5" s="197" t="s">
        <v>634</v>
      </c>
      <c r="H5" s="197" t="s">
        <v>635</v>
      </c>
      <c r="I5" s="197" t="s">
        <v>636</v>
      </c>
      <c r="J5" s="197" t="s">
        <v>637</v>
      </c>
      <c r="K5" s="197" t="s">
        <v>638</v>
      </c>
      <c r="L5" s="197" t="s">
        <v>639</v>
      </c>
      <c r="M5" s="197" t="s">
        <v>640</v>
      </c>
      <c r="N5" s="197" t="s">
        <v>641</v>
      </c>
      <c r="O5" s="197" t="s">
        <v>642</v>
      </c>
    </row>
    <row r="6" spans="2:34" x14ac:dyDescent="0.55000000000000004">
      <c r="B6" s="264" t="s">
        <v>818</v>
      </c>
      <c r="C6" s="265">
        <v>12</v>
      </c>
      <c r="D6" s="197" t="e">
        <f>pile(B6,"d")</f>
        <v>#VALUE!</v>
      </c>
      <c r="E6" s="197" t="e">
        <f>pile(B6,"ae")</f>
        <v>#VALUE!</v>
      </c>
      <c r="F6" s="307" t="e">
        <f>pile(B6,"ie")</f>
        <v>#VALUE!</v>
      </c>
      <c r="G6" s="307" t="e">
        <f>pile(B6,"ze")</f>
        <v>#VALUE!</v>
      </c>
      <c r="H6" s="197">
        <f>pile(B6,"pres")</f>
        <v>4</v>
      </c>
      <c r="I6" s="267" t="e">
        <f>1-(IF(0&gt;+C6*1000/D6-$F$19,0,(C6*1000/D6-$F$19)/100))</f>
        <v>#VALUE!</v>
      </c>
      <c r="J6" s="266">
        <v>24</v>
      </c>
      <c r="K6" s="266">
        <v>48</v>
      </c>
      <c r="L6" s="266" t="e">
        <f>(J6-H6)*E6*I6/1000</f>
        <v>#VALUE!</v>
      </c>
      <c r="M6" s="266" t="e">
        <f>(K6-H6)*E6*I6/1000</f>
        <v>#VALUE!</v>
      </c>
      <c r="N6" s="307" t="e">
        <f>pile(B6,"lfb")</f>
        <v>#VALUE!</v>
      </c>
      <c r="O6" s="307" t="e">
        <f>pile(B6,"sfb")</f>
        <v>#VALUE!</v>
      </c>
    </row>
    <row r="7" spans="2:34" x14ac:dyDescent="0.55000000000000004">
      <c r="B7" s="264" t="s">
        <v>823</v>
      </c>
      <c r="C7" s="265">
        <v>12</v>
      </c>
      <c r="D7" s="197" t="e">
        <f>pile(B7,"d")</f>
        <v>#VALUE!</v>
      </c>
      <c r="E7" s="197" t="e">
        <f t="shared" ref="E7:E10" si="0">pile(B7,"ae")</f>
        <v>#VALUE!</v>
      </c>
      <c r="F7" s="307" t="e">
        <f t="shared" ref="F7:F10" si="1">pile(B7,"ie")</f>
        <v>#VALUE!</v>
      </c>
      <c r="G7" s="307" t="e">
        <f t="shared" ref="G7:G10" si="2">pile(B7,"ze")</f>
        <v>#VALUE!</v>
      </c>
      <c r="H7" s="197" t="e">
        <f t="shared" ref="H7:H10" si="3">pile(B7,"pres")</f>
        <v>#VALUE!</v>
      </c>
      <c r="I7" s="267" t="e">
        <f>1-(IF(0&gt;+C7*1000/D7-$F$19,0,(C7*1000/D7-$F$19)/100))</f>
        <v>#VALUE!</v>
      </c>
      <c r="J7" s="266">
        <v>24</v>
      </c>
      <c r="K7" s="266">
        <v>48</v>
      </c>
      <c r="L7" s="266" t="e">
        <f>(J7-H7)*E7*I7/1000</f>
        <v>#VALUE!</v>
      </c>
      <c r="M7" s="266" t="e">
        <f>(K7-H7)*E7*I7/1000</f>
        <v>#VALUE!</v>
      </c>
      <c r="N7" s="307" t="e">
        <f t="shared" ref="N7:N10" si="4">pile(B7,"lfb")</f>
        <v>#VALUE!</v>
      </c>
      <c r="O7" s="307" t="e">
        <f t="shared" ref="O7:O10" si="5">pile(B7,"sfb")</f>
        <v>#VALUE!</v>
      </c>
    </row>
    <row r="8" spans="2:34" x14ac:dyDescent="0.55000000000000004">
      <c r="B8" s="264" t="s">
        <v>829</v>
      </c>
      <c r="C8" s="265">
        <v>12</v>
      </c>
      <c r="D8" s="197">
        <f>VLOOKUP(B8,PHC!A10:AE52,2,0)</f>
        <v>400</v>
      </c>
      <c r="E8" s="197" t="e">
        <f t="shared" si="0"/>
        <v>#VALUE!</v>
      </c>
      <c r="F8" s="307" t="e">
        <f t="shared" si="1"/>
        <v>#VALUE!</v>
      </c>
      <c r="G8" s="307" t="e">
        <f t="shared" si="2"/>
        <v>#VALUE!</v>
      </c>
      <c r="H8" s="197" t="e">
        <f t="shared" si="3"/>
        <v>#VALUE!</v>
      </c>
      <c r="I8" s="267">
        <f>1-(IF(0&gt;+C8*1000/D8-$F$19,0,(C8*1000/D8-$F$19)/100))</f>
        <v>1</v>
      </c>
      <c r="J8" s="266">
        <v>24</v>
      </c>
      <c r="K8" s="266">
        <v>48</v>
      </c>
      <c r="L8" s="266" t="e">
        <f>(J8-H8)*E8*I8/1000</f>
        <v>#VALUE!</v>
      </c>
      <c r="M8" s="266" t="e">
        <f>(K8-H8)*E8*I8/1000</f>
        <v>#VALUE!</v>
      </c>
      <c r="N8" s="307" t="e">
        <f t="shared" si="4"/>
        <v>#VALUE!</v>
      </c>
      <c r="O8" s="307" t="e">
        <f t="shared" si="5"/>
        <v>#VALUE!</v>
      </c>
      <c r="P8" s="269"/>
    </row>
    <row r="9" spans="2:34" x14ac:dyDescent="0.55000000000000004">
      <c r="B9" s="264" t="s">
        <v>834</v>
      </c>
      <c r="C9" s="265">
        <v>12</v>
      </c>
      <c r="D9" s="197">
        <f>VLOOKUP(B9,PHC!A10:AE53,2)</f>
        <v>500</v>
      </c>
      <c r="E9" s="197" t="e">
        <f t="shared" si="0"/>
        <v>#VALUE!</v>
      </c>
      <c r="F9" s="307" t="e">
        <f t="shared" si="1"/>
        <v>#VALUE!</v>
      </c>
      <c r="G9" s="307" t="e">
        <f t="shared" si="2"/>
        <v>#VALUE!</v>
      </c>
      <c r="H9" s="197" t="e">
        <f t="shared" si="3"/>
        <v>#VALUE!</v>
      </c>
      <c r="I9" s="267">
        <f>1-(IF(0&gt;+C9*1000/D9-$F$19,0,(C9*1000/D9-$F$19)/100))</f>
        <v>1</v>
      </c>
      <c r="J9" s="266">
        <v>24</v>
      </c>
      <c r="K9" s="266">
        <v>48</v>
      </c>
      <c r="L9" s="266" t="e">
        <f>(J9-H9)*E9*I9/1000</f>
        <v>#VALUE!</v>
      </c>
      <c r="M9" s="266" t="e">
        <f>(K9-H9)*E9*I9/1000</f>
        <v>#VALUE!</v>
      </c>
      <c r="N9" s="307" t="e">
        <f t="shared" si="4"/>
        <v>#VALUE!</v>
      </c>
      <c r="O9" s="307" t="e">
        <f t="shared" si="5"/>
        <v>#VALUE!</v>
      </c>
    </row>
    <row r="10" spans="2:34" x14ac:dyDescent="0.55000000000000004">
      <c r="B10" s="264" t="s">
        <v>821</v>
      </c>
      <c r="C10" s="265">
        <v>12</v>
      </c>
      <c r="D10" s="197">
        <f>VLOOKUP(B10,PHC!A10:AE54,2)</f>
        <v>600</v>
      </c>
      <c r="E10" s="197" t="e">
        <f t="shared" si="0"/>
        <v>#VALUE!</v>
      </c>
      <c r="F10" s="307" t="e">
        <f t="shared" si="1"/>
        <v>#VALUE!</v>
      </c>
      <c r="G10" s="307" t="e">
        <f t="shared" si="2"/>
        <v>#VALUE!</v>
      </c>
      <c r="H10" s="197" t="e">
        <f t="shared" si="3"/>
        <v>#VALUE!</v>
      </c>
      <c r="I10" s="267">
        <f>1-(IF(0&gt;+C10*1000/D10-$F$19,0,(C10*1000/D10-$F$19)/100))</f>
        <v>1</v>
      </c>
      <c r="J10" s="266">
        <v>24</v>
      </c>
      <c r="K10" s="266">
        <v>48</v>
      </c>
      <c r="L10" s="266" t="e">
        <f>(J10-H10)*E10*I10/1000</f>
        <v>#VALUE!</v>
      </c>
      <c r="M10" s="266" t="e">
        <f>(K10-H10)*E10*I10/1000</f>
        <v>#VALUE!</v>
      </c>
      <c r="N10" s="307" t="e">
        <f t="shared" si="4"/>
        <v>#VALUE!</v>
      </c>
      <c r="O10" s="307" t="e">
        <f t="shared" si="5"/>
        <v>#VALUE!</v>
      </c>
      <c r="T10" s="270"/>
    </row>
    <row r="11" spans="2:34" x14ac:dyDescent="0.55000000000000004">
      <c r="B11" s="271"/>
      <c r="C11" s="265"/>
      <c r="D11" s="272"/>
      <c r="E11" s="272"/>
      <c r="F11" s="272"/>
      <c r="G11" s="273"/>
      <c r="H11" s="274"/>
      <c r="I11" s="275"/>
      <c r="J11" s="274"/>
      <c r="K11" s="274"/>
      <c r="L11" s="274"/>
      <c r="M11" s="274"/>
      <c r="N11" s="276"/>
      <c r="O11" s="276"/>
    </row>
    <row r="12" spans="2:34" ht="16.8" x14ac:dyDescent="0.55000000000000004">
      <c r="B12" s="198" t="s">
        <v>217</v>
      </c>
      <c r="C12" s="436" t="s">
        <v>218</v>
      </c>
      <c r="D12" s="437"/>
      <c r="E12" s="437"/>
      <c r="F12" s="263" t="s">
        <v>648</v>
      </c>
      <c r="H12" s="198" t="s">
        <v>649</v>
      </c>
      <c r="I12" s="437" t="s">
        <v>219</v>
      </c>
      <c r="J12" s="437"/>
      <c r="K12" s="437"/>
      <c r="L12" s="196" t="s">
        <v>812</v>
      </c>
    </row>
    <row r="13" spans="2:34" ht="16.8" x14ac:dyDescent="0.55000000000000004">
      <c r="B13" s="198" t="s">
        <v>650</v>
      </c>
      <c r="C13" s="436" t="s">
        <v>220</v>
      </c>
      <c r="D13" s="437"/>
      <c r="E13" s="437"/>
      <c r="F13" s="263" t="s">
        <v>710</v>
      </c>
      <c r="H13" s="198" t="s">
        <v>711</v>
      </c>
      <c r="I13" s="437" t="s">
        <v>221</v>
      </c>
      <c r="J13" s="437"/>
      <c r="K13" s="437"/>
      <c r="L13" s="196" t="s">
        <v>812</v>
      </c>
    </row>
    <row r="14" spans="2:34" ht="16.8" x14ac:dyDescent="0.55000000000000004">
      <c r="B14" s="198" t="s">
        <v>654</v>
      </c>
      <c r="C14" s="436" t="s">
        <v>222</v>
      </c>
      <c r="D14" s="437"/>
      <c r="E14" s="437"/>
      <c r="F14" s="263" t="s">
        <v>813</v>
      </c>
      <c r="H14" s="198" t="s">
        <v>656</v>
      </c>
      <c r="I14" s="437" t="s">
        <v>223</v>
      </c>
      <c r="J14" s="437"/>
      <c r="K14" s="437"/>
      <c r="L14" s="196" t="s">
        <v>657</v>
      </c>
      <c r="M14" s="438" t="s">
        <v>658</v>
      </c>
      <c r="N14" s="439"/>
      <c r="AD14" s="198"/>
      <c r="AE14" s="277"/>
      <c r="AF14" s="197"/>
    </row>
    <row r="15" spans="2:34" ht="16.8" x14ac:dyDescent="0.55000000000000004">
      <c r="B15" s="198" t="s">
        <v>659</v>
      </c>
      <c r="C15" s="436" t="s">
        <v>224</v>
      </c>
      <c r="D15" s="437"/>
      <c r="E15" s="437"/>
      <c r="F15" s="263" t="s">
        <v>814</v>
      </c>
      <c r="H15" s="198" t="s">
        <v>661</v>
      </c>
      <c r="I15" s="437" t="s">
        <v>225</v>
      </c>
      <c r="J15" s="437"/>
      <c r="K15" s="437"/>
      <c r="L15" s="196" t="s">
        <v>662</v>
      </c>
      <c r="M15" s="438" t="s">
        <v>663</v>
      </c>
      <c r="N15" s="439"/>
      <c r="T15" s="270"/>
      <c r="AD15" s="198"/>
      <c r="AE15" s="277"/>
      <c r="AH15" s="197"/>
    </row>
    <row r="16" spans="2:34" ht="16.8" x14ac:dyDescent="0.55000000000000004">
      <c r="B16" s="198" t="s">
        <v>664</v>
      </c>
      <c r="C16" s="436" t="s">
        <v>226</v>
      </c>
      <c r="D16" s="437"/>
      <c r="E16" s="437"/>
      <c r="F16" s="263" t="s">
        <v>815</v>
      </c>
      <c r="H16" s="198" t="s">
        <v>666</v>
      </c>
      <c r="I16" s="437" t="s">
        <v>227</v>
      </c>
      <c r="J16" s="437"/>
      <c r="K16" s="437"/>
      <c r="L16" s="196" t="s">
        <v>812</v>
      </c>
      <c r="O16" s="196">
        <v>130</v>
      </c>
      <c r="AE16" s="277"/>
    </row>
    <row r="17" spans="2:34" ht="16.8" x14ac:dyDescent="0.55000000000000004">
      <c r="B17" s="198" t="s">
        <v>668</v>
      </c>
      <c r="C17" s="437" t="s">
        <v>228</v>
      </c>
      <c r="D17" s="437"/>
      <c r="E17" s="437"/>
      <c r="F17" s="196" t="s">
        <v>812</v>
      </c>
      <c r="H17" s="198" t="s">
        <v>670</v>
      </c>
      <c r="I17" s="437" t="s">
        <v>229</v>
      </c>
      <c r="J17" s="437"/>
      <c r="K17" s="437"/>
      <c r="L17" s="196" t="s">
        <v>812</v>
      </c>
      <c r="O17" s="196">
        <v>800</v>
      </c>
      <c r="AD17" s="198"/>
      <c r="AE17" s="277"/>
      <c r="AH17" s="197"/>
    </row>
    <row r="18" spans="2:34" x14ac:dyDescent="0.55000000000000004">
      <c r="B18" s="198" t="s">
        <v>672</v>
      </c>
      <c r="C18" s="436" t="s">
        <v>230</v>
      </c>
      <c r="D18" s="437"/>
      <c r="E18" s="437"/>
      <c r="F18" s="436" t="s">
        <v>673</v>
      </c>
      <c r="G18" s="437"/>
      <c r="O18" s="196">
        <v>150</v>
      </c>
      <c r="Q18" s="196">
        <v>1250</v>
      </c>
      <c r="AD18" s="198"/>
      <c r="AE18" s="277"/>
      <c r="AH18" s="197"/>
    </row>
    <row r="19" spans="2:34" x14ac:dyDescent="0.55000000000000004">
      <c r="B19" s="198" t="s">
        <v>674</v>
      </c>
      <c r="C19" s="436" t="s">
        <v>231</v>
      </c>
      <c r="D19" s="437"/>
      <c r="E19" s="437"/>
      <c r="F19" s="277">
        <v>85</v>
      </c>
      <c r="O19" s="196">
        <f>SUM(O16:O18)</f>
        <v>1080</v>
      </c>
      <c r="P19" s="196">
        <v>600</v>
      </c>
      <c r="Q19" s="196">
        <f>O19-P19</f>
        <v>480</v>
      </c>
      <c r="AD19" s="198"/>
    </row>
    <row r="20" spans="2:34" x14ac:dyDescent="0.55000000000000004">
      <c r="Q20" s="196">
        <f>+Q18-Q19</f>
        <v>770</v>
      </c>
      <c r="T20" s="270"/>
      <c r="AE20" s="277"/>
    </row>
    <row r="21" spans="2:34" x14ac:dyDescent="0.55000000000000004">
      <c r="B21" s="437" t="s">
        <v>232</v>
      </c>
      <c r="C21" s="437"/>
      <c r="D21" s="437"/>
      <c r="H21" s="197"/>
    </row>
    <row r="22" spans="2:34" x14ac:dyDescent="0.55000000000000004">
      <c r="B22" s="197" t="s">
        <v>216</v>
      </c>
      <c r="C22" s="197" t="s">
        <v>631</v>
      </c>
      <c r="D22" s="197" t="s">
        <v>868</v>
      </c>
      <c r="E22" s="197" t="s">
        <v>675</v>
      </c>
      <c r="F22" s="197" t="s">
        <v>502</v>
      </c>
      <c r="G22" s="197" t="s">
        <v>630</v>
      </c>
      <c r="H22" s="197" t="s">
        <v>676</v>
      </c>
      <c r="I22" s="197" t="s">
        <v>677</v>
      </c>
      <c r="J22" s="197" t="s">
        <v>678</v>
      </c>
      <c r="K22" s="197" t="s">
        <v>679</v>
      </c>
      <c r="L22" s="197" t="s">
        <v>680</v>
      </c>
      <c r="M22" s="197" t="s">
        <v>681</v>
      </c>
      <c r="N22" s="197" t="s">
        <v>682</v>
      </c>
      <c r="O22" s="197" t="s">
        <v>683</v>
      </c>
      <c r="P22" s="197" t="s">
        <v>684</v>
      </c>
    </row>
    <row r="23" spans="2:34" x14ac:dyDescent="0.55000000000000004">
      <c r="B23" s="278" t="str">
        <f>B6</f>
        <v>PHC300A</v>
      </c>
      <c r="C23" s="267" t="e">
        <f>pile(B23,"d")/1000</f>
        <v>#VALUE!</v>
      </c>
      <c r="D23" s="266">
        <v>200</v>
      </c>
      <c r="E23" s="279" t="e">
        <f>C23^2*PI()/4</f>
        <v>#VALUE!</v>
      </c>
      <c r="F23" s="197" t="e">
        <f>C23*3.14</f>
        <v>#VALUE!</v>
      </c>
      <c r="G23" s="265">
        <v>12</v>
      </c>
      <c r="H23" s="280">
        <v>40</v>
      </c>
      <c r="I23" s="280">
        <v>0</v>
      </c>
      <c r="J23" s="265">
        <v>0</v>
      </c>
      <c r="K23" s="265">
        <v>0</v>
      </c>
      <c r="L23" s="265">
        <v>0</v>
      </c>
      <c r="M23" s="281" t="e">
        <f>1/3*D23*E23*H23</f>
        <v>#VALUE!</v>
      </c>
      <c r="N23" s="282" t="e">
        <f>1/3*(I23*J23*10/3+1/2*K23*L23)*F23</f>
        <v>#VALUE!</v>
      </c>
      <c r="O23" s="281" t="e">
        <f>+M23+N23</f>
        <v>#VALUE!</v>
      </c>
      <c r="P23" s="281" t="e">
        <f>O23*2</f>
        <v>#VALUE!</v>
      </c>
      <c r="R23" s="196">
        <f>1*1*20*2</f>
        <v>40</v>
      </c>
    </row>
    <row r="24" spans="2:34" x14ac:dyDescent="0.55000000000000004">
      <c r="B24" s="278" t="str">
        <f>B7</f>
        <v>PHC350B</v>
      </c>
      <c r="C24" s="267" t="e">
        <f t="shared" ref="C24:C27" si="6">pile(B24,"d")/1000</f>
        <v>#VALUE!</v>
      </c>
      <c r="D24" s="266">
        <v>200</v>
      </c>
      <c r="E24" s="279" t="e">
        <f>C24^2*PI()/4</f>
        <v>#VALUE!</v>
      </c>
      <c r="F24" s="197" t="e">
        <f>C24*3.14</f>
        <v>#VALUE!</v>
      </c>
      <c r="G24" s="265">
        <v>12</v>
      </c>
      <c r="H24" s="280">
        <v>40</v>
      </c>
      <c r="I24" s="280">
        <v>0</v>
      </c>
      <c r="J24" s="265">
        <v>0</v>
      </c>
      <c r="K24" s="265">
        <v>0</v>
      </c>
      <c r="L24" s="265">
        <v>0</v>
      </c>
      <c r="M24" s="281" t="e">
        <f t="shared" ref="L24:M28" si="7">1/3*300*E24*H24</f>
        <v>#VALUE!</v>
      </c>
      <c r="N24" s="282" t="e">
        <f>1/3*(I24*J24*10/3+1/2*K24*L24)*F24</f>
        <v>#VALUE!</v>
      </c>
      <c r="O24" s="281" t="e">
        <f>+M24+N24</f>
        <v>#VALUE!</v>
      </c>
      <c r="P24" s="281" t="e">
        <f>O24*2</f>
        <v>#VALUE!</v>
      </c>
      <c r="Q24" s="196" t="e">
        <f>O24/E24</f>
        <v>#VALUE!</v>
      </c>
    </row>
    <row r="25" spans="2:34" x14ac:dyDescent="0.55000000000000004">
      <c r="B25" s="278" t="str">
        <f>B8</f>
        <v>PHC400C</v>
      </c>
      <c r="C25" s="267" t="e">
        <f t="shared" si="6"/>
        <v>#VALUE!</v>
      </c>
      <c r="D25" s="266">
        <v>200</v>
      </c>
      <c r="E25" s="279" t="e">
        <f>C25^2*PI()/4</f>
        <v>#VALUE!</v>
      </c>
      <c r="F25" s="197" t="e">
        <f>C25*3.14</f>
        <v>#VALUE!</v>
      </c>
      <c r="G25" s="265">
        <v>12</v>
      </c>
      <c r="H25" s="280">
        <v>40</v>
      </c>
      <c r="I25" s="280">
        <v>0</v>
      </c>
      <c r="J25" s="265">
        <v>0</v>
      </c>
      <c r="K25" s="265">
        <v>0</v>
      </c>
      <c r="L25" s="265">
        <v>0</v>
      </c>
      <c r="M25" s="281" t="e">
        <f t="shared" si="7"/>
        <v>#VALUE!</v>
      </c>
      <c r="N25" s="282" t="e">
        <f>1/3*(I25*J25*10/3+1/2*K25*L25)*F25</f>
        <v>#VALUE!</v>
      </c>
      <c r="O25" s="281" t="e">
        <f>+M25+N25</f>
        <v>#VALUE!</v>
      </c>
      <c r="P25" s="281" t="e">
        <f>O25*2</f>
        <v>#VALUE!</v>
      </c>
      <c r="Q25" s="269"/>
    </row>
    <row r="26" spans="2:34" x14ac:dyDescent="0.55000000000000004">
      <c r="B26" s="278" t="str">
        <f>B9</f>
        <v>PHC500B</v>
      </c>
      <c r="C26" s="267" t="e">
        <f t="shared" si="6"/>
        <v>#VALUE!</v>
      </c>
      <c r="D26" s="266">
        <v>200</v>
      </c>
      <c r="E26" s="279" t="e">
        <f>C26^2*PI()/4</f>
        <v>#VALUE!</v>
      </c>
      <c r="F26" s="197" t="e">
        <f>C26*3.14</f>
        <v>#VALUE!</v>
      </c>
      <c r="G26" s="265">
        <v>12</v>
      </c>
      <c r="H26" s="280">
        <v>40</v>
      </c>
      <c r="I26" s="280">
        <v>0</v>
      </c>
      <c r="J26" s="265">
        <v>0</v>
      </c>
      <c r="K26" s="265">
        <v>0</v>
      </c>
      <c r="L26" s="265">
        <v>0</v>
      </c>
      <c r="M26" s="281" t="e">
        <f t="shared" si="7"/>
        <v>#VALUE!</v>
      </c>
      <c r="N26" s="282" t="e">
        <f>1/3*(I26*J26*10/3+1/2*K26*L26)*F26</f>
        <v>#VALUE!</v>
      </c>
      <c r="O26" s="281" t="e">
        <f>+M26+N26</f>
        <v>#VALUE!</v>
      </c>
      <c r="P26" s="281" t="e">
        <f>O26*2</f>
        <v>#VALUE!</v>
      </c>
      <c r="U26" s="270"/>
    </row>
    <row r="27" spans="2:34" x14ac:dyDescent="0.55000000000000004">
      <c r="B27" s="278" t="str">
        <f>B10</f>
        <v>PHC600A</v>
      </c>
      <c r="C27" s="267" t="e">
        <f t="shared" si="6"/>
        <v>#VALUE!</v>
      </c>
      <c r="D27" s="266">
        <v>200</v>
      </c>
      <c r="E27" s="279" t="e">
        <f>C27^2*PI()/4</f>
        <v>#VALUE!</v>
      </c>
      <c r="F27" s="197" t="e">
        <f>C27*3.14</f>
        <v>#VALUE!</v>
      </c>
      <c r="G27" s="265">
        <v>12</v>
      </c>
      <c r="H27" s="280">
        <v>40</v>
      </c>
      <c r="I27" s="280">
        <v>0</v>
      </c>
      <c r="J27" s="265">
        <v>0</v>
      </c>
      <c r="K27" s="265">
        <v>0</v>
      </c>
      <c r="L27" s="265">
        <v>0</v>
      </c>
      <c r="M27" s="281" t="e">
        <f t="shared" si="7"/>
        <v>#VALUE!</v>
      </c>
      <c r="N27" s="282" t="e">
        <f>1/3*(I27*J27*10/3+1/2*K27*L27)*F27</f>
        <v>#VALUE!</v>
      </c>
      <c r="O27" s="281" t="e">
        <f>+M27+N27</f>
        <v>#VALUE!</v>
      </c>
      <c r="P27" s="281" t="e">
        <f>O27*2</f>
        <v>#VALUE!</v>
      </c>
    </row>
    <row r="28" spans="2:34" x14ac:dyDescent="0.55000000000000004">
      <c r="B28" s="283"/>
      <c r="C28" s="275"/>
      <c r="D28" s="284"/>
      <c r="E28" s="272"/>
      <c r="F28" s="285"/>
      <c r="G28" s="280"/>
      <c r="H28" s="280"/>
      <c r="I28" s="265"/>
      <c r="J28" s="285"/>
      <c r="K28" s="285"/>
      <c r="L28" s="281">
        <f t="shared" si="7"/>
        <v>0</v>
      </c>
      <c r="M28" s="286"/>
      <c r="N28" s="287"/>
      <c r="O28" s="287"/>
    </row>
    <row r="29" spans="2:34" x14ac:dyDescent="0.55000000000000004">
      <c r="B29" s="198" t="s">
        <v>217</v>
      </c>
      <c r="C29" s="277" t="s">
        <v>218</v>
      </c>
      <c r="D29" s="197" t="s">
        <v>685</v>
      </c>
      <c r="E29" s="265"/>
      <c r="H29" s="265"/>
      <c r="K29" s="198" t="s">
        <v>686</v>
      </c>
      <c r="L29" s="196" t="s">
        <v>234</v>
      </c>
      <c r="N29" s="197" t="s">
        <v>687</v>
      </c>
    </row>
    <row r="30" spans="2:34" x14ac:dyDescent="0.55000000000000004">
      <c r="B30" s="198" t="s">
        <v>233</v>
      </c>
      <c r="C30" s="196" t="s">
        <v>500</v>
      </c>
      <c r="L30" s="196" t="s">
        <v>688</v>
      </c>
      <c r="M30" s="288"/>
      <c r="N30" s="270"/>
    </row>
    <row r="31" spans="2:34" x14ac:dyDescent="0.55000000000000004">
      <c r="B31" s="198" t="s">
        <v>689</v>
      </c>
      <c r="C31" s="196" t="s">
        <v>235</v>
      </c>
      <c r="D31" s="197" t="s">
        <v>690</v>
      </c>
      <c r="L31" s="198" t="s">
        <v>691</v>
      </c>
      <c r="M31" s="277" t="s">
        <v>237</v>
      </c>
      <c r="O31" s="277" t="s">
        <v>692</v>
      </c>
    </row>
    <row r="32" spans="2:34" ht="16.8" x14ac:dyDescent="0.55000000000000004">
      <c r="B32" s="198" t="s">
        <v>693</v>
      </c>
      <c r="C32" s="277" t="s">
        <v>236</v>
      </c>
      <c r="D32" s="267"/>
      <c r="L32" s="198" t="s">
        <v>694</v>
      </c>
      <c r="M32" s="277" t="s">
        <v>239</v>
      </c>
      <c r="O32" s="277" t="s">
        <v>816</v>
      </c>
    </row>
    <row r="33" spans="2:20" x14ac:dyDescent="0.55000000000000004">
      <c r="B33" s="289" t="s">
        <v>696</v>
      </c>
      <c r="C33" s="277" t="s">
        <v>238</v>
      </c>
      <c r="F33" s="197" t="s">
        <v>697</v>
      </c>
      <c r="K33" s="198" t="s">
        <v>698</v>
      </c>
      <c r="L33" s="196" t="s">
        <v>241</v>
      </c>
      <c r="N33" s="197" t="s">
        <v>91</v>
      </c>
      <c r="T33" s="270"/>
    </row>
    <row r="34" spans="2:20" x14ac:dyDescent="0.55000000000000004">
      <c r="B34" s="289" t="s">
        <v>699</v>
      </c>
      <c r="C34" s="277" t="s">
        <v>240</v>
      </c>
      <c r="L34" s="277" t="s">
        <v>700</v>
      </c>
      <c r="P34" s="290"/>
    </row>
    <row r="35" spans="2:20" x14ac:dyDescent="0.55000000000000004">
      <c r="B35" s="198" t="s">
        <v>701</v>
      </c>
      <c r="C35" s="277" t="s">
        <v>242</v>
      </c>
      <c r="D35" s="291"/>
      <c r="F35" s="197" t="s">
        <v>697</v>
      </c>
      <c r="K35" s="198" t="s">
        <v>702</v>
      </c>
      <c r="L35" s="196" t="s">
        <v>244</v>
      </c>
      <c r="P35" s="197" t="s">
        <v>90</v>
      </c>
    </row>
    <row r="36" spans="2:20" ht="16.8" x14ac:dyDescent="0.55000000000000004">
      <c r="B36" s="292" t="s">
        <v>703</v>
      </c>
      <c r="C36" s="277" t="s">
        <v>243</v>
      </c>
      <c r="G36" s="197" t="s">
        <v>817</v>
      </c>
      <c r="K36" s="198" t="s">
        <v>712</v>
      </c>
      <c r="L36" s="196" t="s">
        <v>246</v>
      </c>
      <c r="P36" s="197" t="s">
        <v>706</v>
      </c>
    </row>
    <row r="37" spans="2:20" x14ac:dyDescent="0.55000000000000004">
      <c r="C37" s="198" t="s">
        <v>707</v>
      </c>
      <c r="D37" s="277" t="s">
        <v>245</v>
      </c>
    </row>
    <row r="38" spans="2:20" ht="16.8" x14ac:dyDescent="0.55000000000000004">
      <c r="D38" s="198" t="s">
        <v>708</v>
      </c>
      <c r="E38" s="293">
        <f>H37/8.2</f>
        <v>0</v>
      </c>
      <c r="F38" s="196" t="s">
        <v>817</v>
      </c>
      <c r="G38" s="277" t="s">
        <v>247</v>
      </c>
      <c r="H38" s="263"/>
      <c r="I38" s="263"/>
    </row>
    <row r="39" spans="2:20" x14ac:dyDescent="0.55000000000000004">
      <c r="E39" s="198"/>
    </row>
    <row r="47" spans="2:20" x14ac:dyDescent="0.55000000000000004">
      <c r="B47" s="197"/>
      <c r="C47" s="197"/>
      <c r="D47" s="197"/>
      <c r="E47" s="197"/>
      <c r="F47" s="197"/>
      <c r="G47" s="197"/>
      <c r="H47" s="197"/>
      <c r="I47" s="197"/>
      <c r="J47" s="197"/>
      <c r="K47" s="197"/>
      <c r="L47" s="197"/>
    </row>
    <row r="48" spans="2:20" x14ac:dyDescent="0.55000000000000004">
      <c r="B48" s="197"/>
      <c r="C48" s="197"/>
      <c r="D48" s="197"/>
      <c r="G48" s="197"/>
      <c r="H48" s="294"/>
      <c r="I48" s="290"/>
      <c r="J48" s="268"/>
      <c r="K48" s="263"/>
      <c r="L48" s="267"/>
    </row>
    <row r="49" spans="2:12" x14ac:dyDescent="0.55000000000000004">
      <c r="B49" s="197"/>
      <c r="C49" s="197"/>
      <c r="D49" s="197"/>
      <c r="G49" s="197"/>
      <c r="H49" s="294"/>
      <c r="I49" s="290"/>
      <c r="J49" s="268"/>
      <c r="K49" s="263"/>
      <c r="L49" s="267"/>
    </row>
    <row r="50" spans="2:12" x14ac:dyDescent="0.55000000000000004">
      <c r="B50" s="197"/>
      <c r="C50" s="197"/>
      <c r="D50" s="197"/>
      <c r="G50" s="197"/>
      <c r="H50" s="294"/>
      <c r="I50" s="290"/>
      <c r="J50" s="268"/>
      <c r="K50" s="263"/>
      <c r="L50" s="267"/>
    </row>
    <row r="56" spans="2:12" x14ac:dyDescent="0.55000000000000004">
      <c r="B56" s="198"/>
      <c r="G56" s="197"/>
      <c r="J56" s="198"/>
      <c r="L56" s="198"/>
    </row>
    <row r="57" spans="2:12" x14ac:dyDescent="0.55000000000000004">
      <c r="B57" s="198"/>
      <c r="G57" s="198"/>
    </row>
    <row r="58" spans="2:12" x14ac:dyDescent="0.55000000000000004">
      <c r="B58" s="198"/>
      <c r="G58" s="198"/>
      <c r="L58" s="198"/>
    </row>
    <row r="59" spans="2:12" x14ac:dyDescent="0.55000000000000004">
      <c r="B59" s="198"/>
      <c r="G59" s="198"/>
      <c r="L59" s="197"/>
    </row>
    <row r="60" spans="2:12" x14ac:dyDescent="0.55000000000000004">
      <c r="G60" s="198"/>
    </row>
    <row r="77" spans="2:2" x14ac:dyDescent="0.55000000000000004">
      <c r="B77" s="277"/>
    </row>
    <row r="78" spans="2:2" x14ac:dyDescent="0.55000000000000004">
      <c r="B78" s="263"/>
    </row>
    <row r="81" spans="2:17" x14ac:dyDescent="0.55000000000000004">
      <c r="B81" s="197"/>
      <c r="C81" s="197"/>
      <c r="D81" s="197"/>
      <c r="E81" s="197"/>
      <c r="F81" s="197"/>
      <c r="G81" s="197"/>
      <c r="H81" s="197"/>
      <c r="I81" s="197"/>
      <c r="J81" s="197"/>
      <c r="K81" s="197"/>
      <c r="L81" s="197"/>
      <c r="M81" s="197"/>
      <c r="N81" s="197"/>
      <c r="O81" s="197"/>
      <c r="P81" s="197"/>
      <c r="Q81" s="197"/>
    </row>
    <row r="82" spans="2:17" x14ac:dyDescent="0.55000000000000004">
      <c r="B82" s="197"/>
      <c r="C82" s="267"/>
      <c r="D82" s="197"/>
      <c r="E82" s="197"/>
      <c r="F82" s="197"/>
      <c r="G82" s="294"/>
      <c r="H82" s="266"/>
      <c r="I82" s="198"/>
      <c r="J82" s="295"/>
      <c r="K82" s="197"/>
      <c r="L82" s="197"/>
      <c r="M82" s="294"/>
      <c r="N82" s="267"/>
      <c r="O82" s="267"/>
      <c r="P82" s="267"/>
      <c r="Q82" s="267"/>
    </row>
    <row r="83" spans="2:17" x14ac:dyDescent="0.55000000000000004">
      <c r="B83" s="197"/>
      <c r="C83" s="267"/>
      <c r="D83" s="197"/>
      <c r="E83" s="197"/>
      <c r="F83" s="197"/>
      <c r="G83" s="294"/>
      <c r="H83" s="266"/>
      <c r="I83" s="198"/>
      <c r="J83" s="295"/>
      <c r="K83" s="197"/>
      <c r="L83" s="197"/>
      <c r="M83" s="294"/>
      <c r="N83" s="267"/>
      <c r="O83" s="267"/>
      <c r="P83" s="267"/>
      <c r="Q83" s="267"/>
    </row>
    <row r="84" spans="2:17" x14ac:dyDescent="0.55000000000000004">
      <c r="B84" s="197"/>
      <c r="C84" s="267"/>
      <c r="D84" s="197"/>
      <c r="E84" s="197"/>
      <c r="F84" s="197"/>
      <c r="G84" s="294"/>
      <c r="H84" s="266"/>
      <c r="I84" s="198"/>
      <c r="J84" s="295"/>
      <c r="K84" s="197"/>
      <c r="L84" s="197"/>
      <c r="M84" s="294"/>
      <c r="N84" s="267"/>
      <c r="O84" s="267"/>
      <c r="P84" s="267"/>
      <c r="Q84" s="267"/>
    </row>
    <row r="85" spans="2:17" x14ac:dyDescent="0.55000000000000004">
      <c r="K85" s="197"/>
    </row>
    <row r="88" spans="2:17" x14ac:dyDescent="0.55000000000000004">
      <c r="B88" s="198"/>
      <c r="K88" s="198"/>
    </row>
    <row r="89" spans="2:17" x14ac:dyDescent="0.55000000000000004">
      <c r="B89" s="198"/>
      <c r="K89" s="198"/>
    </row>
    <row r="90" spans="2:17" x14ac:dyDescent="0.55000000000000004">
      <c r="B90" s="198"/>
    </row>
    <row r="91" spans="2:17" x14ac:dyDescent="0.55000000000000004">
      <c r="B91" s="198"/>
      <c r="C91" s="277"/>
      <c r="H91" s="277"/>
      <c r="K91" s="198"/>
    </row>
    <row r="92" spans="2:17" x14ac:dyDescent="0.55000000000000004">
      <c r="B92" s="198"/>
      <c r="F92" s="277"/>
      <c r="K92" s="198"/>
    </row>
    <row r="93" spans="2:17" x14ac:dyDescent="0.55000000000000004">
      <c r="C93" s="277"/>
      <c r="K93" s="198"/>
    </row>
    <row r="94" spans="2:17" x14ac:dyDescent="0.55000000000000004">
      <c r="B94" s="198"/>
      <c r="F94" s="277"/>
      <c r="K94" s="198"/>
    </row>
    <row r="95" spans="2:17" x14ac:dyDescent="0.55000000000000004">
      <c r="B95" s="198"/>
      <c r="C95" s="277"/>
      <c r="F95" s="197"/>
      <c r="K95" s="198"/>
    </row>
    <row r="96" spans="2:17" x14ac:dyDescent="0.55000000000000004">
      <c r="B96" s="198"/>
      <c r="C96" s="277"/>
      <c r="D96" s="277"/>
      <c r="G96" s="277"/>
    </row>
    <row r="100" spans="2:18" x14ac:dyDescent="0.55000000000000004">
      <c r="B100" s="269"/>
      <c r="C100" s="269"/>
      <c r="D100" s="269"/>
      <c r="F100" s="269"/>
      <c r="G100" s="269"/>
      <c r="H100" s="269"/>
      <c r="I100" s="269"/>
      <c r="J100" s="269"/>
      <c r="K100" s="269"/>
      <c r="L100" s="269"/>
      <c r="M100" s="269"/>
      <c r="N100" s="269"/>
      <c r="O100" s="269"/>
      <c r="P100" s="269"/>
      <c r="R100" s="269"/>
    </row>
    <row r="101" spans="2:18" x14ac:dyDescent="0.55000000000000004">
      <c r="B101" s="269"/>
      <c r="C101" s="272"/>
      <c r="D101" s="272"/>
      <c r="E101" s="272"/>
      <c r="F101" s="272"/>
      <c r="G101" s="272"/>
      <c r="H101" s="272"/>
      <c r="I101" s="272"/>
      <c r="J101" s="272"/>
      <c r="K101" s="272"/>
      <c r="L101" s="272"/>
      <c r="M101" s="272"/>
      <c r="N101" s="272"/>
      <c r="O101" s="272"/>
      <c r="P101" s="272"/>
      <c r="R101" s="269"/>
    </row>
    <row r="102" spans="2:18" x14ac:dyDescent="0.55000000000000004">
      <c r="B102" s="269"/>
      <c r="C102" s="296"/>
      <c r="D102" s="296"/>
      <c r="E102" s="296"/>
      <c r="F102" s="296"/>
      <c r="G102" s="297"/>
      <c r="H102" s="296"/>
      <c r="I102" s="296"/>
      <c r="J102" s="296"/>
      <c r="K102" s="296"/>
      <c r="L102" s="296"/>
      <c r="M102" s="296"/>
      <c r="N102" s="297"/>
      <c r="O102" s="296"/>
      <c r="P102" s="296"/>
      <c r="R102" s="269"/>
    </row>
    <row r="103" spans="2:18" x14ac:dyDescent="0.55000000000000004">
      <c r="B103" s="269"/>
      <c r="C103" s="296"/>
      <c r="D103" s="296"/>
      <c r="E103" s="296"/>
      <c r="F103" s="296"/>
      <c r="G103" s="297"/>
      <c r="H103" s="296"/>
      <c r="I103" s="296"/>
      <c r="J103" s="296"/>
      <c r="K103" s="296"/>
      <c r="L103" s="296"/>
      <c r="M103" s="296"/>
      <c r="N103" s="297"/>
      <c r="O103" s="296"/>
      <c r="P103" s="296"/>
      <c r="Q103" s="269"/>
      <c r="R103" s="269"/>
    </row>
    <row r="104" spans="2:18" x14ac:dyDescent="0.55000000000000004">
      <c r="B104" s="269"/>
      <c r="C104" s="296"/>
      <c r="D104" s="296"/>
      <c r="E104" s="296"/>
      <c r="F104" s="296"/>
      <c r="G104" s="297"/>
      <c r="H104" s="296"/>
      <c r="I104" s="296"/>
      <c r="J104" s="296"/>
      <c r="K104" s="296"/>
      <c r="L104" s="296"/>
      <c r="M104" s="296"/>
      <c r="N104" s="297"/>
      <c r="O104" s="296"/>
      <c r="P104" s="296"/>
      <c r="Q104" s="269"/>
      <c r="R104" s="269"/>
    </row>
  </sheetData>
  <mergeCells count="18">
    <mergeCell ref="M14:N14"/>
    <mergeCell ref="M15:N15"/>
    <mergeCell ref="B21:D21"/>
    <mergeCell ref="C19:E19"/>
    <mergeCell ref="I16:K16"/>
    <mergeCell ref="I17:K17"/>
    <mergeCell ref="C16:E16"/>
    <mergeCell ref="C17:E17"/>
    <mergeCell ref="C18:E18"/>
    <mergeCell ref="F18:G18"/>
    <mergeCell ref="C12:E12"/>
    <mergeCell ref="C13:E13"/>
    <mergeCell ref="C14:E14"/>
    <mergeCell ref="C15:E15"/>
    <mergeCell ref="I12:K12"/>
    <mergeCell ref="I13:K13"/>
    <mergeCell ref="I14:K14"/>
    <mergeCell ref="I15:K15"/>
  </mergeCells>
  <phoneticPr fontId="2"/>
  <pageMargins left="0.78740157480314965" right="0.78740157480314965" top="0.98425196850393704" bottom="0.98425196850393704" header="0.51181102362204722" footer="0.51181102362204722"/>
  <pageSetup paperSize="9" orientation="landscape" horizontalDpi="300" verticalDpi="300" r:id="rId1"/>
  <headerFooter alignWithMargins="0">
    <oddFooter>&amp;C&amp;1#&amp;"Calibri"&amp;10&amp;K000000Confidential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B1:X97"/>
  <sheetViews>
    <sheetView tabSelected="1" topLeftCell="A22" workbookViewId="0">
      <selection activeCell="D44" sqref="D44"/>
    </sheetView>
  </sheetViews>
  <sheetFormatPr defaultColWidth="9" defaultRowHeight="15.9" x14ac:dyDescent="0.55000000000000004"/>
  <cols>
    <col min="1" max="1" width="9" style="317"/>
    <col min="2" max="2" width="15.05078125" style="317" customWidth="1"/>
    <col min="3" max="3" width="12.47265625" style="317" customWidth="1"/>
    <col min="4" max="4" width="13.9453125" style="317" customWidth="1"/>
    <col min="5" max="5" width="12.47265625" style="317" customWidth="1"/>
    <col min="6" max="6" width="17.3671875" style="317" customWidth="1"/>
    <col min="7" max="10" width="12.47265625" style="317" customWidth="1"/>
    <col min="11" max="11" width="15.26171875" style="317" customWidth="1"/>
    <col min="12" max="12" width="16.05078125" style="317" customWidth="1"/>
    <col min="13" max="18" width="12.47265625" style="317" customWidth="1"/>
    <col min="19" max="19" width="7.62890625" style="317" customWidth="1"/>
    <col min="20" max="16384" width="9" style="317"/>
  </cols>
  <sheetData>
    <row r="1" spans="2:24" x14ac:dyDescent="0.55000000000000004">
      <c r="B1" s="317" t="s">
        <v>282</v>
      </c>
    </row>
    <row r="2" spans="2:24" ht="6" customHeight="1" x14ac:dyDescent="0.55000000000000004"/>
    <row r="3" spans="2:24" x14ac:dyDescent="0.55000000000000004">
      <c r="B3" s="317" t="s">
        <v>283</v>
      </c>
    </row>
    <row r="4" spans="2:24" ht="6" customHeight="1" x14ac:dyDescent="0.55000000000000004"/>
    <row r="5" spans="2:24" x14ac:dyDescent="0.55000000000000004">
      <c r="B5" s="318" t="s">
        <v>216</v>
      </c>
      <c r="C5" s="318" t="s">
        <v>99</v>
      </c>
      <c r="D5" s="318" t="s">
        <v>100</v>
      </c>
      <c r="E5" s="318" t="s">
        <v>101</v>
      </c>
      <c r="F5" s="318" t="s">
        <v>102</v>
      </c>
      <c r="G5" s="318" t="s">
        <v>103</v>
      </c>
      <c r="H5" s="318" t="s">
        <v>104</v>
      </c>
      <c r="I5" s="318" t="s">
        <v>105</v>
      </c>
      <c r="J5" s="318" t="s">
        <v>106</v>
      </c>
      <c r="K5" s="318" t="s">
        <v>107</v>
      </c>
      <c r="L5" s="318" t="s">
        <v>108</v>
      </c>
      <c r="M5" s="318" t="s">
        <v>109</v>
      </c>
      <c r="N5" s="318" t="s">
        <v>110</v>
      </c>
      <c r="O5" s="318" t="s">
        <v>111</v>
      </c>
    </row>
    <row r="6" spans="2:24" x14ac:dyDescent="0.55000000000000004">
      <c r="B6" s="319" t="s">
        <v>871</v>
      </c>
      <c r="C6" s="320">
        <v>1100</v>
      </c>
      <c r="D6" s="320">
        <v>100</v>
      </c>
      <c r="E6" s="321">
        <v>5810</v>
      </c>
      <c r="F6" s="322">
        <v>0.8</v>
      </c>
      <c r="G6" s="322">
        <v>0.2</v>
      </c>
      <c r="H6" s="323">
        <f>+G6*F6*E6</f>
        <v>929.60000000000014</v>
      </c>
      <c r="I6" s="320">
        <v>820</v>
      </c>
      <c r="J6" s="322">
        <v>1.2</v>
      </c>
      <c r="K6" s="324">
        <v>0.08</v>
      </c>
      <c r="L6" s="325">
        <f>I6*K6</f>
        <v>65.599999999999994</v>
      </c>
      <c r="M6" s="325">
        <f>H6+L6</f>
        <v>995.20000000000016</v>
      </c>
      <c r="N6" s="322">
        <v>12</v>
      </c>
      <c r="O6" s="325">
        <f>M6/N6</f>
        <v>82.933333333333351</v>
      </c>
    </row>
    <row r="7" spans="2:24" x14ac:dyDescent="0.55000000000000004">
      <c r="B7" s="319" t="s">
        <v>828</v>
      </c>
      <c r="C7" s="320">
        <v>1100</v>
      </c>
      <c r="D7" s="320">
        <v>100</v>
      </c>
      <c r="E7" s="321">
        <v>5810</v>
      </c>
      <c r="F7" s="322">
        <v>0.8</v>
      </c>
      <c r="G7" s="322">
        <v>0.2</v>
      </c>
      <c r="H7" s="323">
        <f t="shared" ref="H7:H8" si="0">+G7*F7*E7</f>
        <v>929.60000000000014</v>
      </c>
      <c r="I7" s="320">
        <v>820</v>
      </c>
      <c r="J7" s="322">
        <v>1.2</v>
      </c>
      <c r="K7" s="324">
        <v>0.08</v>
      </c>
      <c r="L7" s="325">
        <f>I7*K7</f>
        <v>65.599999999999994</v>
      </c>
      <c r="M7" s="325">
        <f>H7+L7</f>
        <v>995.20000000000016</v>
      </c>
      <c r="N7" s="322">
        <v>12</v>
      </c>
      <c r="O7" s="325">
        <f>M7/N7</f>
        <v>82.933333333333351</v>
      </c>
      <c r="V7" s="326"/>
    </row>
    <row r="8" spans="2:24" x14ac:dyDescent="0.55000000000000004">
      <c r="B8" s="319" t="s">
        <v>829</v>
      </c>
      <c r="C8" s="320">
        <v>1100</v>
      </c>
      <c r="D8" s="320">
        <v>100</v>
      </c>
      <c r="E8" s="321">
        <v>5810</v>
      </c>
      <c r="F8" s="322">
        <v>0.8</v>
      </c>
      <c r="G8" s="322">
        <v>0.2</v>
      </c>
      <c r="H8" s="323">
        <f t="shared" si="0"/>
        <v>929.60000000000014</v>
      </c>
      <c r="I8" s="320">
        <v>820</v>
      </c>
      <c r="J8" s="322">
        <v>1.2</v>
      </c>
      <c r="K8" s="324">
        <v>0.08</v>
      </c>
      <c r="L8" s="325">
        <f>I8*K8</f>
        <v>65.599999999999994</v>
      </c>
      <c r="M8" s="325">
        <f>H8+L8</f>
        <v>995.20000000000016</v>
      </c>
      <c r="N8" s="322">
        <v>12</v>
      </c>
      <c r="O8" s="325">
        <f>M8/N8</f>
        <v>82.933333333333351</v>
      </c>
      <c r="V8" s="318"/>
    </row>
    <row r="9" spans="2:24" ht="6" customHeight="1" x14ac:dyDescent="0.55000000000000004"/>
    <row r="10" spans="2:24" x14ac:dyDescent="0.55000000000000004">
      <c r="B10" s="327" t="s">
        <v>284</v>
      </c>
      <c r="C10" s="317" t="s">
        <v>285</v>
      </c>
      <c r="G10" s="317" t="s">
        <v>112</v>
      </c>
      <c r="H10" s="318" t="s">
        <v>113</v>
      </c>
      <c r="I10" s="317" t="s">
        <v>286</v>
      </c>
      <c r="K10" s="327"/>
      <c r="L10" s="317" t="s">
        <v>114</v>
      </c>
      <c r="M10" s="327" t="s">
        <v>23</v>
      </c>
      <c r="N10" s="317" t="s">
        <v>287</v>
      </c>
      <c r="Q10" s="317" t="s">
        <v>112</v>
      </c>
    </row>
    <row r="11" spans="2:24" x14ac:dyDescent="0.55000000000000004">
      <c r="B11" s="327" t="s">
        <v>115</v>
      </c>
      <c r="C11" s="317" t="s">
        <v>288</v>
      </c>
      <c r="G11" s="317" t="s">
        <v>112</v>
      </c>
      <c r="H11" s="327" t="s">
        <v>116</v>
      </c>
      <c r="I11" s="317" t="s">
        <v>289</v>
      </c>
      <c r="K11" s="317" t="s">
        <v>24</v>
      </c>
      <c r="N11" s="317" t="s">
        <v>25</v>
      </c>
      <c r="X11" s="326"/>
    </row>
    <row r="12" spans="2:24" x14ac:dyDescent="0.55000000000000004">
      <c r="B12" s="327" t="s">
        <v>117</v>
      </c>
      <c r="C12" s="317" t="s">
        <v>290</v>
      </c>
      <c r="H12" s="327" t="s">
        <v>118</v>
      </c>
      <c r="I12" s="317" t="s">
        <v>291</v>
      </c>
      <c r="M12" s="327" t="s">
        <v>26</v>
      </c>
      <c r="N12" s="317" t="s">
        <v>292</v>
      </c>
      <c r="P12" s="317" t="s">
        <v>293</v>
      </c>
      <c r="X12" s="326"/>
    </row>
    <row r="13" spans="2:24" x14ac:dyDescent="0.55000000000000004">
      <c r="B13" s="327" t="s">
        <v>119</v>
      </c>
      <c r="C13" s="317" t="s">
        <v>294</v>
      </c>
      <c r="H13" s="327"/>
      <c r="I13" s="317" t="s">
        <v>27</v>
      </c>
      <c r="M13" s="318" t="s">
        <v>28</v>
      </c>
      <c r="N13" s="317" t="s">
        <v>295</v>
      </c>
      <c r="R13" s="317" t="s">
        <v>112</v>
      </c>
      <c r="S13" s="318"/>
      <c r="T13" s="318"/>
    </row>
    <row r="14" spans="2:24" x14ac:dyDescent="0.55000000000000004">
      <c r="B14" s="327" t="s">
        <v>120</v>
      </c>
      <c r="C14" s="317" t="s">
        <v>296</v>
      </c>
      <c r="H14" s="327" t="s">
        <v>121</v>
      </c>
      <c r="I14" s="317" t="s">
        <v>297</v>
      </c>
      <c r="L14" s="317" t="s">
        <v>122</v>
      </c>
    </row>
    <row r="15" spans="2:24" x14ac:dyDescent="0.55000000000000004">
      <c r="B15" s="327" t="s">
        <v>123</v>
      </c>
      <c r="C15" s="317" t="s">
        <v>298</v>
      </c>
      <c r="F15" s="317" t="s">
        <v>122</v>
      </c>
      <c r="I15" s="317" t="s">
        <v>124</v>
      </c>
    </row>
    <row r="16" spans="2:24" x14ac:dyDescent="0.55000000000000004">
      <c r="C16" s="317" t="s">
        <v>125</v>
      </c>
      <c r="F16" s="317" t="s">
        <v>122</v>
      </c>
      <c r="K16" s="317">
        <f>4.5*1.1*20*4</f>
        <v>396</v>
      </c>
      <c r="L16" s="317">
        <f>2.25*1.1*20*4</f>
        <v>198</v>
      </c>
      <c r="M16" s="317">
        <f>K16+L16</f>
        <v>594</v>
      </c>
    </row>
    <row r="17" spans="2:19" ht="6" customHeight="1" x14ac:dyDescent="0.55000000000000004"/>
    <row r="18" spans="2:19" x14ac:dyDescent="0.55000000000000004">
      <c r="B18" s="317" t="s">
        <v>299</v>
      </c>
    </row>
    <row r="19" spans="2:19" ht="6" customHeight="1" x14ac:dyDescent="0.55000000000000004"/>
    <row r="20" spans="2:19" x14ac:dyDescent="0.55000000000000004">
      <c r="C20" s="326" t="s">
        <v>300</v>
      </c>
    </row>
    <row r="21" spans="2:19" x14ac:dyDescent="0.55000000000000004">
      <c r="C21" s="328" t="s">
        <v>301</v>
      </c>
    </row>
    <row r="22" spans="2:19" x14ac:dyDescent="0.55000000000000004">
      <c r="C22" s="317" t="s">
        <v>302</v>
      </c>
    </row>
    <row r="23" spans="2:19" ht="6" customHeight="1" x14ac:dyDescent="0.55000000000000004"/>
    <row r="24" spans="2:19" x14ac:dyDescent="0.55000000000000004">
      <c r="B24" s="318" t="s">
        <v>216</v>
      </c>
      <c r="C24" s="318" t="s">
        <v>8</v>
      </c>
      <c r="D24" s="318" t="s">
        <v>4</v>
      </c>
      <c r="E24" s="318" t="s">
        <v>12</v>
      </c>
      <c r="F24" s="318" t="s">
        <v>6</v>
      </c>
      <c r="G24" s="318" t="s">
        <v>873</v>
      </c>
      <c r="H24" s="318" t="s">
        <v>126</v>
      </c>
      <c r="I24" s="318" t="s">
        <v>9</v>
      </c>
      <c r="J24" s="318" t="s">
        <v>22</v>
      </c>
      <c r="K24" s="318" t="s">
        <v>10</v>
      </c>
      <c r="L24" s="318" t="s">
        <v>11</v>
      </c>
      <c r="M24" s="318" t="s">
        <v>13</v>
      </c>
      <c r="N24" s="318" t="s">
        <v>14</v>
      </c>
      <c r="O24" s="318" t="s">
        <v>17</v>
      </c>
      <c r="P24" s="318" t="s">
        <v>15</v>
      </c>
      <c r="Q24" s="318" t="s">
        <v>16</v>
      </c>
      <c r="R24" s="318" t="s">
        <v>18</v>
      </c>
      <c r="S24" s="318" t="s">
        <v>19</v>
      </c>
    </row>
    <row r="25" spans="2:19" x14ac:dyDescent="0.55000000000000004">
      <c r="B25" s="319" t="str">
        <f>B6</f>
        <v>PHC400a</v>
      </c>
      <c r="C25" s="318" t="e">
        <f>pile(B25,"d")/1000</f>
        <v>#VALUE!</v>
      </c>
      <c r="D25" s="318">
        <v>11</v>
      </c>
      <c r="E25" s="475">
        <f>40000</f>
        <v>40000</v>
      </c>
      <c r="F25" s="472">
        <f>pile(B25,"ic")</f>
        <v>995800000</v>
      </c>
      <c r="G25" s="472">
        <f>E25*F25/1000/1000/1000</f>
        <v>39832</v>
      </c>
      <c r="H25" s="322">
        <v>1</v>
      </c>
      <c r="I25" s="322">
        <v>2</v>
      </c>
      <c r="J25" s="325">
        <f>O6</f>
        <v>82.933333333333351</v>
      </c>
      <c r="K25" s="325">
        <f>I25*700</f>
        <v>1400</v>
      </c>
      <c r="L25" s="476" t="e">
        <f>80*K25*(C25/0.01)^(-3/4)</f>
        <v>#VALUE!</v>
      </c>
      <c r="M25" s="474" t="e">
        <f>(L25*C25/(4*G25))^(1/4)</f>
        <v>#VALUE!</v>
      </c>
      <c r="N25" s="318" t="e">
        <f>IF(30&gt;D25*1000*M25,"短い杭","長い杭")</f>
        <v>#VALUE!</v>
      </c>
      <c r="O25" s="330" t="e">
        <f>J25*M25/(L25*C25/100)</f>
        <v>#VALUE!</v>
      </c>
      <c r="P25" s="325" t="e">
        <f>J25/(2*M25)</f>
        <v>#VALUE!</v>
      </c>
      <c r="Q25" s="325" t="e">
        <f>0.2079*P25</f>
        <v>#VALUE!</v>
      </c>
      <c r="R25" s="329" t="e">
        <f>PI()/(2*M25)</f>
        <v>#VALUE!</v>
      </c>
      <c r="S25" s="329" t="e">
        <f>3*PI()/(4*M25)</f>
        <v>#VALUE!</v>
      </c>
    </row>
    <row r="26" spans="2:19" x14ac:dyDescent="0.55000000000000004">
      <c r="B26" s="319" t="str">
        <f>B7</f>
        <v>PHC400B</v>
      </c>
      <c r="C26" s="318" t="e">
        <f t="shared" ref="C26:C27" si="1">pile(B26,"d")/1000</f>
        <v>#VALUE!</v>
      </c>
      <c r="D26" s="318">
        <v>11</v>
      </c>
      <c r="E26" s="475">
        <f>40000</f>
        <v>40000</v>
      </c>
      <c r="F26" s="472" t="e">
        <f t="shared" ref="F26:F27" si="2">pile(B26,"ic")</f>
        <v>#VALUE!</v>
      </c>
      <c r="G26" s="472" t="e">
        <f t="shared" ref="G26:G27" si="3">E26*F26/1000/1000/1000</f>
        <v>#VALUE!</v>
      </c>
      <c r="H26" s="322">
        <v>1</v>
      </c>
      <c r="I26" s="322">
        <v>2</v>
      </c>
      <c r="J26" s="325">
        <f>O7</f>
        <v>82.933333333333351</v>
      </c>
      <c r="K26" s="325">
        <f t="shared" ref="K26:K27" si="4">I26*700</f>
        <v>1400</v>
      </c>
      <c r="L26" s="476" t="e">
        <f t="shared" ref="L26:L27" si="5">80*K26*(C26/0.01)^(-3/4)</f>
        <v>#VALUE!</v>
      </c>
      <c r="M26" s="474" t="e">
        <f t="shared" ref="M26:M27" si="6">(L26*C26/(4*G26))^(1/4)</f>
        <v>#VALUE!</v>
      </c>
      <c r="N26" s="318" t="e">
        <f>IF(30&gt;D26*1000*M26,"短い杭","長い杭")</f>
        <v>#VALUE!</v>
      </c>
      <c r="O26" s="330" t="e">
        <f t="shared" ref="O26:O27" si="7">J26*M26/(L26*C26/100)</f>
        <v>#VALUE!</v>
      </c>
      <c r="P26" s="325" t="e">
        <f t="shared" ref="P26:P27" si="8">J26/(2*M26)</f>
        <v>#VALUE!</v>
      </c>
      <c r="Q26" s="325" t="e">
        <f t="shared" ref="Q26:Q27" si="9">0.2079*P26</f>
        <v>#VALUE!</v>
      </c>
      <c r="R26" s="329" t="e">
        <f t="shared" ref="R26:R27" si="10">PI()/(2*M26)</f>
        <v>#VALUE!</v>
      </c>
      <c r="S26" s="329" t="e">
        <f t="shared" ref="S26:S27" si="11">3*PI()/(4*M26)</f>
        <v>#VALUE!</v>
      </c>
    </row>
    <row r="27" spans="2:19" x14ac:dyDescent="0.55000000000000004">
      <c r="B27" s="319" t="str">
        <f>B8</f>
        <v>PHC400C</v>
      </c>
      <c r="C27" s="318" t="e">
        <f t="shared" si="1"/>
        <v>#VALUE!</v>
      </c>
      <c r="D27" s="318">
        <v>11</v>
      </c>
      <c r="E27" s="475">
        <f>40000</f>
        <v>40000</v>
      </c>
      <c r="F27" s="472" t="e">
        <f t="shared" si="2"/>
        <v>#VALUE!</v>
      </c>
      <c r="G27" s="472" t="e">
        <f t="shared" si="3"/>
        <v>#VALUE!</v>
      </c>
      <c r="H27" s="322">
        <v>1</v>
      </c>
      <c r="I27" s="322">
        <v>2</v>
      </c>
      <c r="J27" s="325">
        <f>O8</f>
        <v>82.933333333333351</v>
      </c>
      <c r="K27" s="325">
        <f t="shared" si="4"/>
        <v>1400</v>
      </c>
      <c r="L27" s="476" t="e">
        <f t="shared" si="5"/>
        <v>#VALUE!</v>
      </c>
      <c r="M27" s="474" t="e">
        <f t="shared" si="6"/>
        <v>#VALUE!</v>
      </c>
      <c r="N27" s="318" t="e">
        <f>IF(30&gt;D27*1000*M27,"短い杭","長い杭")</f>
        <v>#VALUE!</v>
      </c>
      <c r="O27" s="330" t="e">
        <f t="shared" si="7"/>
        <v>#VALUE!</v>
      </c>
      <c r="P27" s="325" t="e">
        <f t="shared" si="8"/>
        <v>#VALUE!</v>
      </c>
      <c r="Q27" s="325" t="e">
        <f t="shared" si="9"/>
        <v>#VALUE!</v>
      </c>
      <c r="R27" s="329" t="e">
        <f t="shared" si="10"/>
        <v>#VALUE!</v>
      </c>
      <c r="S27" s="329" t="e">
        <f t="shared" si="11"/>
        <v>#VALUE!</v>
      </c>
    </row>
    <row r="28" spans="2:19" ht="6" customHeight="1" x14ac:dyDescent="0.55000000000000004">
      <c r="H28" s="322"/>
    </row>
    <row r="29" spans="2:19" x14ac:dyDescent="0.55000000000000004">
      <c r="B29" s="327" t="s">
        <v>127</v>
      </c>
      <c r="C29" s="317" t="s">
        <v>303</v>
      </c>
      <c r="D29" s="317" t="s">
        <v>870</v>
      </c>
      <c r="K29" s="327" t="s">
        <v>129</v>
      </c>
      <c r="L29" s="326" t="s">
        <v>304</v>
      </c>
      <c r="M29" s="326"/>
      <c r="O29" s="317" t="s">
        <v>130</v>
      </c>
      <c r="P29" s="326" t="s">
        <v>131</v>
      </c>
    </row>
    <row r="30" spans="2:19" x14ac:dyDescent="0.55000000000000004">
      <c r="B30" s="327" t="s">
        <v>132</v>
      </c>
      <c r="C30" s="317" t="s">
        <v>235</v>
      </c>
      <c r="D30" s="317" t="s">
        <v>133</v>
      </c>
    </row>
    <row r="31" spans="2:19" ht="18" x14ac:dyDescent="0.55000000000000004">
      <c r="B31" s="327" t="s">
        <v>134</v>
      </c>
      <c r="C31" s="317" t="s">
        <v>305</v>
      </c>
      <c r="F31" s="326" t="s">
        <v>866</v>
      </c>
      <c r="K31" s="327" t="s">
        <v>135</v>
      </c>
      <c r="L31" s="317" t="s">
        <v>306</v>
      </c>
    </row>
    <row r="32" spans="2:19" ht="18" x14ac:dyDescent="0.55000000000000004">
      <c r="B32" s="327" t="s">
        <v>136</v>
      </c>
      <c r="C32" s="326" t="s">
        <v>224</v>
      </c>
      <c r="F32" s="318" t="s">
        <v>867</v>
      </c>
      <c r="L32" s="317" t="s">
        <v>307</v>
      </c>
      <c r="O32" s="317" t="s">
        <v>308</v>
      </c>
      <c r="R32" s="317" t="s">
        <v>137</v>
      </c>
    </row>
    <row r="33" spans="2:21" x14ac:dyDescent="0.55000000000000004">
      <c r="B33" s="327" t="s">
        <v>138</v>
      </c>
      <c r="C33" s="317" t="s">
        <v>309</v>
      </c>
      <c r="K33" s="327" t="s">
        <v>139</v>
      </c>
      <c r="L33" s="317" t="s">
        <v>310</v>
      </c>
      <c r="O33" s="317" t="s">
        <v>128</v>
      </c>
      <c r="P33" s="317" t="s">
        <v>140</v>
      </c>
    </row>
    <row r="34" spans="2:21" x14ac:dyDescent="0.55000000000000004">
      <c r="B34" s="327" t="s">
        <v>141</v>
      </c>
      <c r="C34" s="317" t="s">
        <v>311</v>
      </c>
      <c r="K34" s="327" t="s">
        <v>142</v>
      </c>
      <c r="L34" s="317" t="s">
        <v>312</v>
      </c>
      <c r="O34" s="317" t="s">
        <v>143</v>
      </c>
      <c r="P34" s="317" t="s">
        <v>144</v>
      </c>
    </row>
    <row r="35" spans="2:21" x14ac:dyDescent="0.55000000000000004">
      <c r="B35" s="327" t="s">
        <v>145</v>
      </c>
      <c r="C35" s="317" t="s">
        <v>313</v>
      </c>
      <c r="D35" s="317" t="s">
        <v>146</v>
      </c>
      <c r="K35" s="327" t="s">
        <v>147</v>
      </c>
      <c r="L35" s="317" t="s">
        <v>314</v>
      </c>
      <c r="O35" s="317" t="s">
        <v>148</v>
      </c>
      <c r="P35" s="317" t="s">
        <v>149</v>
      </c>
    </row>
    <row r="36" spans="2:21" ht="18" x14ac:dyDescent="0.55000000000000004">
      <c r="B36" s="327" t="s">
        <v>150</v>
      </c>
      <c r="C36" s="445" t="s">
        <v>337</v>
      </c>
      <c r="D36" s="446"/>
      <c r="E36" s="446"/>
      <c r="F36" s="326" t="s">
        <v>866</v>
      </c>
      <c r="H36" s="326" t="s">
        <v>869</v>
      </c>
      <c r="K36" s="327" t="s">
        <v>151</v>
      </c>
      <c r="L36" s="317" t="s">
        <v>315</v>
      </c>
      <c r="O36" s="317" t="s">
        <v>152</v>
      </c>
      <c r="P36" s="317" t="s">
        <v>153</v>
      </c>
    </row>
    <row r="37" spans="2:21" ht="18" x14ac:dyDescent="0.55000000000000004">
      <c r="B37" s="327" t="s">
        <v>154</v>
      </c>
      <c r="C37" s="317" t="s">
        <v>338</v>
      </c>
      <c r="F37" s="326" t="s">
        <v>872</v>
      </c>
      <c r="G37" s="326" t="s">
        <v>155</v>
      </c>
      <c r="K37" s="327" t="s">
        <v>156</v>
      </c>
      <c r="L37" s="317" t="s">
        <v>316</v>
      </c>
      <c r="O37" s="317" t="s">
        <v>157</v>
      </c>
      <c r="P37" s="317" t="s">
        <v>158</v>
      </c>
    </row>
    <row r="38" spans="2:21" ht="6" customHeight="1" x14ac:dyDescent="0.55000000000000004"/>
    <row r="39" spans="2:21" x14ac:dyDescent="0.55000000000000004">
      <c r="B39" s="317" t="s">
        <v>317</v>
      </c>
    </row>
    <row r="40" spans="2:21" ht="6" customHeight="1" x14ac:dyDescent="0.55000000000000004"/>
    <row r="41" spans="2:21" x14ac:dyDescent="0.55000000000000004">
      <c r="B41" s="331"/>
      <c r="C41" s="331"/>
      <c r="D41" s="331"/>
      <c r="E41" s="331"/>
      <c r="F41" s="331" t="s">
        <v>318</v>
      </c>
      <c r="I41" s="331"/>
      <c r="J41" s="331"/>
      <c r="K41" s="331"/>
      <c r="L41" s="331"/>
      <c r="M41" s="331" t="s">
        <v>319</v>
      </c>
      <c r="N41" s="331"/>
      <c r="O41" s="331"/>
      <c r="P41" s="331"/>
      <c r="Q41" s="331"/>
      <c r="R41" s="331"/>
      <c r="S41" s="331"/>
      <c r="U41" s="331"/>
    </row>
    <row r="42" spans="2:21" x14ac:dyDescent="0.55000000000000004">
      <c r="B42" s="331"/>
      <c r="C42" s="331"/>
      <c r="D42" s="331"/>
      <c r="E42" s="331"/>
      <c r="F42" s="332" t="s">
        <v>159</v>
      </c>
      <c r="G42" s="332" t="s">
        <v>160</v>
      </c>
      <c r="H42" s="332" t="s">
        <v>161</v>
      </c>
      <c r="I42" s="332" t="s">
        <v>257</v>
      </c>
      <c r="J42" s="332" t="s">
        <v>20</v>
      </c>
      <c r="K42" s="332" t="s">
        <v>21</v>
      </c>
      <c r="L42" s="332" t="s">
        <v>257</v>
      </c>
      <c r="M42" s="332" t="s">
        <v>162</v>
      </c>
      <c r="N42" s="332" t="s">
        <v>29</v>
      </c>
      <c r="O42" s="332" t="s">
        <v>30</v>
      </c>
      <c r="P42" s="332" t="s">
        <v>257</v>
      </c>
      <c r="Q42" s="332" t="s">
        <v>20</v>
      </c>
      <c r="R42" s="332" t="s">
        <v>21</v>
      </c>
      <c r="S42" s="332" t="s">
        <v>257</v>
      </c>
      <c r="U42" s="331"/>
    </row>
    <row r="43" spans="2:21" x14ac:dyDescent="0.55000000000000004">
      <c r="B43" s="331" t="str">
        <f>+B25</f>
        <v>PHC400a</v>
      </c>
      <c r="C43" s="318" t="e">
        <f>pile(B43,"ae")</f>
        <v>#VALUE!</v>
      </c>
      <c r="D43" s="473">
        <f>pile(B43,"ze")</f>
        <v>5084000</v>
      </c>
      <c r="E43" s="473" t="e">
        <f>pile(B43,"pres")</f>
        <v>#VALUE!</v>
      </c>
      <c r="F43" s="333">
        <f>C6</f>
        <v>1100</v>
      </c>
      <c r="G43" s="333" t="e">
        <f>P25</f>
        <v>#VALUE!</v>
      </c>
      <c r="H43" s="333" t="e">
        <f>(F43*1000/C43+E43)*D43/1000/1000</f>
        <v>#VALUE!</v>
      </c>
      <c r="I43" s="333" t="e">
        <f>IF(G43&lt;H43,"OK","NG")</f>
        <v>#VALUE!</v>
      </c>
      <c r="J43" s="333">
        <f>O6</f>
        <v>82.933333333333351</v>
      </c>
      <c r="K43" s="478" t="e">
        <f>pile_phc_q(F43,B43)</f>
        <v>#VALUE!</v>
      </c>
      <c r="L43" s="333" t="e">
        <f>IF(J43&lt;K43,"OK","NG")</f>
        <v>#VALUE!</v>
      </c>
      <c r="M43" s="333">
        <f>D6</f>
        <v>100</v>
      </c>
      <c r="N43" s="333" t="e">
        <f>P25</f>
        <v>#VALUE!</v>
      </c>
      <c r="O43" s="333" t="e">
        <f ca="1">[1]!PilePcMa(B43, M43/9.80665, 2)*9.80665</f>
        <v>#NAME?</v>
      </c>
      <c r="P43" s="333" t="e">
        <f ca="1">IF(N43&lt;O43,"OK","NG")</f>
        <v>#VALUE!</v>
      </c>
      <c r="Q43" s="333">
        <f>J25</f>
        <v>82.933333333333351</v>
      </c>
      <c r="R43" s="333" t="e">
        <f ca="1">[1]!PilePcQa(B43, M43/9.80665,2)*9.80665</f>
        <v>#NAME?</v>
      </c>
      <c r="S43" s="334" t="e">
        <f ca="1">IF(Q43&lt;R43,"OK","NG")</f>
        <v>#NAME?</v>
      </c>
      <c r="U43" s="331"/>
    </row>
    <row r="44" spans="2:21" x14ac:dyDescent="0.55000000000000004">
      <c r="B44" s="331" t="str">
        <f>+B26</f>
        <v>PHC400B</v>
      </c>
      <c r="C44" s="318" t="e">
        <f t="shared" ref="C44:C45" si="12">pile(B44,"ae")</f>
        <v>#VALUE!</v>
      </c>
      <c r="D44" s="473" t="e">
        <f t="shared" ref="D44:D45" si="13">pile(B44,"ze")</f>
        <v>#VALUE!</v>
      </c>
      <c r="E44" s="473" t="e">
        <f t="shared" ref="E44:E45" si="14">pile(B44,"pres")</f>
        <v>#VALUE!</v>
      </c>
      <c r="F44" s="333">
        <f>C7</f>
        <v>1100</v>
      </c>
      <c r="G44" s="333" t="e">
        <f>P26</f>
        <v>#VALUE!</v>
      </c>
      <c r="H44" s="333" t="e">
        <f t="shared" ref="H44:H45" si="15">(F44*1000/C44+E44)*D44/1000/1000</f>
        <v>#VALUE!</v>
      </c>
      <c r="I44" s="333" t="e">
        <f>IF(G44&lt;H44,"OK","NG")</f>
        <v>#VALUE!</v>
      </c>
      <c r="J44" s="333">
        <f>O7</f>
        <v>82.933333333333351</v>
      </c>
      <c r="K44" s="478" t="e">
        <f t="shared" ref="K44:K45" si="16">pile_phc_q(F44,B44)/1000</f>
        <v>#VALUE!</v>
      </c>
      <c r="L44" s="333" t="e">
        <f>IF(J44&lt;K44,"OK","NG")</f>
        <v>#VALUE!</v>
      </c>
      <c r="M44" s="333">
        <f>D7</f>
        <v>100</v>
      </c>
      <c r="N44" s="333" t="e">
        <f>P26</f>
        <v>#VALUE!</v>
      </c>
      <c r="O44" s="333" t="e">
        <f ca="1">[1]!PilePcMa(B44, M44/9.80665, 2)*9.80665</f>
        <v>#NAME?</v>
      </c>
      <c r="P44" s="333" t="e">
        <f ca="1">IF(N44&lt;O44,"OK","NG")</f>
        <v>#VALUE!</v>
      </c>
      <c r="Q44" s="333">
        <f>J26</f>
        <v>82.933333333333351</v>
      </c>
      <c r="R44" s="333" t="e">
        <f ca="1">[1]!PilePcQa(B44, M44/9.80665,2)*9.80665</f>
        <v>#NAME?</v>
      </c>
      <c r="S44" s="334" t="e">
        <f ca="1">IF(Q44&lt;R44,"OK","NG")</f>
        <v>#NAME?</v>
      </c>
      <c r="U44" s="331"/>
    </row>
    <row r="45" spans="2:21" x14ac:dyDescent="0.55000000000000004">
      <c r="B45" s="331" t="str">
        <f>+B27</f>
        <v>PHC400C</v>
      </c>
      <c r="C45" s="318" t="e">
        <f t="shared" si="12"/>
        <v>#VALUE!</v>
      </c>
      <c r="D45" s="473" t="e">
        <f t="shared" si="13"/>
        <v>#VALUE!</v>
      </c>
      <c r="E45" s="473" t="e">
        <f t="shared" si="14"/>
        <v>#VALUE!</v>
      </c>
      <c r="F45" s="333">
        <f>C8</f>
        <v>1100</v>
      </c>
      <c r="G45" s="333" t="e">
        <f>P27</f>
        <v>#VALUE!</v>
      </c>
      <c r="H45" s="333" t="e">
        <f>(F45*1000/C45+E45)*D45/1000/1000</f>
        <v>#VALUE!</v>
      </c>
      <c r="I45" s="333" t="e">
        <f>IF(G45&lt;H45,"OK","NG")</f>
        <v>#VALUE!</v>
      </c>
      <c r="J45" s="333">
        <f>O8</f>
        <v>82.933333333333351</v>
      </c>
      <c r="K45" s="478" t="e">
        <f t="shared" si="16"/>
        <v>#VALUE!</v>
      </c>
      <c r="L45" s="333" t="e">
        <f>IF(J45&lt;K45,"OK","NG")</f>
        <v>#VALUE!</v>
      </c>
      <c r="M45" s="333">
        <f>D8</f>
        <v>100</v>
      </c>
      <c r="N45" s="333" t="e">
        <f>P27</f>
        <v>#VALUE!</v>
      </c>
      <c r="O45" s="333" t="e">
        <f ca="1">[1]!PilePcMa(B45, M45/9.80665, 2)*9.80665</f>
        <v>#NAME?</v>
      </c>
      <c r="P45" s="333" t="e">
        <f ca="1">IF(N45&lt;O45,"OK","NG")</f>
        <v>#VALUE!</v>
      </c>
      <c r="Q45" s="333">
        <f>J27</f>
        <v>82.933333333333351</v>
      </c>
      <c r="R45" s="333" t="e">
        <f ca="1">[1]!PilePcQa(B45, M45/9.80665,2)*9.80665</f>
        <v>#NAME?</v>
      </c>
      <c r="S45" s="334" t="e">
        <f ca="1">IF(Q45&lt;R45,"OK","NG")</f>
        <v>#NAME?</v>
      </c>
      <c r="T45" s="317" t="s">
        <v>558</v>
      </c>
      <c r="U45" s="331"/>
    </row>
    <row r="46" spans="2:21" ht="6" customHeight="1" x14ac:dyDescent="0.55000000000000004">
      <c r="B46" s="319"/>
      <c r="C46" s="333"/>
      <c r="D46" s="333"/>
      <c r="E46" s="333"/>
      <c r="F46" s="333"/>
      <c r="G46" s="333"/>
      <c r="H46" s="333"/>
      <c r="I46" s="333"/>
      <c r="J46" s="333"/>
      <c r="K46" s="333"/>
      <c r="L46" s="333"/>
      <c r="M46" s="333"/>
      <c r="N46" s="333"/>
      <c r="O46" s="333"/>
      <c r="P46" s="334"/>
      <c r="R46" s="331"/>
    </row>
    <row r="47" spans="2:21" x14ac:dyDescent="0.55000000000000004">
      <c r="B47" s="335" t="s">
        <v>163</v>
      </c>
      <c r="C47" s="331" t="s">
        <v>320</v>
      </c>
      <c r="D47" s="331"/>
      <c r="E47" s="331"/>
      <c r="F47" s="317" t="s">
        <v>112</v>
      </c>
      <c r="G47" s="335" t="s">
        <v>142</v>
      </c>
      <c r="H47" s="331" t="s">
        <v>321</v>
      </c>
      <c r="I47" s="331"/>
      <c r="J47" s="331"/>
      <c r="K47" s="317" t="s">
        <v>322</v>
      </c>
      <c r="L47" s="331"/>
      <c r="M47" s="335" t="s">
        <v>164</v>
      </c>
      <c r="N47" s="331" t="s">
        <v>323</v>
      </c>
      <c r="O47" s="331"/>
      <c r="P47" s="317" t="s">
        <v>165</v>
      </c>
      <c r="R47" s="331"/>
    </row>
    <row r="48" spans="2:21" x14ac:dyDescent="0.55000000000000004">
      <c r="B48" s="335" t="s">
        <v>166</v>
      </c>
      <c r="C48" s="331" t="s">
        <v>324</v>
      </c>
      <c r="D48" s="331"/>
      <c r="E48" s="331"/>
      <c r="F48" s="317" t="s">
        <v>112</v>
      </c>
      <c r="G48" s="335" t="s">
        <v>167</v>
      </c>
      <c r="H48" s="331" t="s">
        <v>325</v>
      </c>
      <c r="I48" s="331"/>
      <c r="J48" s="331"/>
      <c r="K48" s="317" t="s">
        <v>326</v>
      </c>
      <c r="L48" s="331"/>
      <c r="M48" s="335" t="s">
        <v>169</v>
      </c>
      <c r="N48" s="331" t="s">
        <v>327</v>
      </c>
      <c r="O48" s="331"/>
      <c r="P48" s="317" t="s">
        <v>168</v>
      </c>
      <c r="R48" s="331"/>
    </row>
    <row r="49" spans="2:18" x14ac:dyDescent="0.55000000000000004">
      <c r="B49" s="331"/>
      <c r="P49" s="334"/>
      <c r="Q49" s="331"/>
      <c r="R49" s="331"/>
    </row>
    <row r="50" spans="2:18" x14ac:dyDescent="0.55000000000000004">
      <c r="K50" s="317" t="e">
        <f>C43*K43/1000</f>
        <v>#VALUE!</v>
      </c>
      <c r="P50" s="334"/>
      <c r="Q50" s="331"/>
      <c r="R50" s="331"/>
    </row>
    <row r="73" spans="2:16" x14ac:dyDescent="0.55000000000000004">
      <c r="B73" s="331"/>
      <c r="C73" s="331"/>
      <c r="D73" s="331"/>
      <c r="E73" s="331"/>
      <c r="F73" s="331"/>
      <c r="G73" s="331"/>
      <c r="H73" s="331"/>
      <c r="I73" s="331"/>
      <c r="J73" s="331"/>
      <c r="K73" s="331"/>
      <c r="L73" s="331"/>
      <c r="M73" s="331"/>
      <c r="N73" s="331"/>
      <c r="O73" s="331"/>
      <c r="P73" s="331"/>
    </row>
    <row r="78" spans="2:16" x14ac:dyDescent="0.55000000000000004">
      <c r="B78" s="336"/>
      <c r="C78" s="329"/>
      <c r="D78" s="329"/>
      <c r="E78" s="329"/>
      <c r="F78" s="329"/>
      <c r="G78" s="329"/>
      <c r="H78" s="329"/>
      <c r="I78" s="329"/>
      <c r="J78" s="329"/>
      <c r="K78" s="329"/>
      <c r="L78" s="329"/>
    </row>
    <row r="79" spans="2:16" x14ac:dyDescent="0.55000000000000004">
      <c r="B79" s="336"/>
      <c r="C79" s="329"/>
      <c r="D79" s="329"/>
      <c r="I79" s="329"/>
      <c r="J79" s="329"/>
      <c r="K79" s="329"/>
      <c r="L79" s="329"/>
    </row>
    <row r="80" spans="2:16" x14ac:dyDescent="0.55000000000000004">
      <c r="B80" s="336"/>
      <c r="C80" s="329"/>
      <c r="D80" s="329"/>
      <c r="I80" s="329"/>
      <c r="J80" s="329"/>
      <c r="K80" s="329"/>
      <c r="L80" s="329"/>
    </row>
    <row r="81" spans="2:14" x14ac:dyDescent="0.55000000000000004">
      <c r="B81" s="336"/>
      <c r="C81" s="329"/>
      <c r="D81" s="329"/>
      <c r="E81" s="329"/>
      <c r="F81" s="329"/>
      <c r="G81" s="329"/>
      <c r="H81" s="329"/>
      <c r="I81" s="329"/>
      <c r="J81" s="329"/>
      <c r="K81" s="329"/>
      <c r="L81" s="329"/>
    </row>
    <row r="82" spans="2:14" x14ac:dyDescent="0.55000000000000004">
      <c r="B82" s="336"/>
      <c r="C82" s="329"/>
      <c r="D82" s="329"/>
      <c r="E82" s="329"/>
      <c r="F82" s="329"/>
      <c r="G82" s="329"/>
      <c r="H82" s="329"/>
      <c r="I82" s="329"/>
      <c r="J82" s="329"/>
      <c r="K82" s="329"/>
      <c r="L82" s="329"/>
      <c r="M82" s="318"/>
      <c r="N82" s="318"/>
    </row>
    <row r="83" spans="2:14" x14ac:dyDescent="0.55000000000000004">
      <c r="N83" s="318"/>
    </row>
    <row r="84" spans="2:14" x14ac:dyDescent="0.55000000000000004">
      <c r="B84" s="336"/>
    </row>
    <row r="85" spans="2:14" x14ac:dyDescent="0.55000000000000004">
      <c r="B85" s="336"/>
      <c r="D85" s="318"/>
      <c r="E85" s="318"/>
      <c r="F85" s="318"/>
      <c r="I85" s="318"/>
      <c r="J85" s="318"/>
    </row>
    <row r="86" spans="2:14" x14ac:dyDescent="0.55000000000000004">
      <c r="B86" s="337"/>
      <c r="D86" s="337"/>
      <c r="E86" s="337"/>
      <c r="F86" s="336"/>
      <c r="I86" s="338"/>
      <c r="J86" s="325"/>
    </row>
    <row r="87" spans="2:14" x14ac:dyDescent="0.55000000000000004">
      <c r="F87" s="339"/>
    </row>
    <row r="88" spans="2:14" x14ac:dyDescent="0.55000000000000004">
      <c r="F88" s="339"/>
    </row>
    <row r="90" spans="2:14" x14ac:dyDescent="0.55000000000000004">
      <c r="I90" s="318"/>
    </row>
    <row r="91" spans="2:14" x14ac:dyDescent="0.55000000000000004">
      <c r="I91" s="318"/>
    </row>
    <row r="92" spans="2:14" x14ac:dyDescent="0.55000000000000004">
      <c r="I92" s="318"/>
    </row>
    <row r="93" spans="2:14" x14ac:dyDescent="0.55000000000000004">
      <c r="I93" s="318"/>
    </row>
    <row r="94" spans="2:14" x14ac:dyDescent="0.55000000000000004">
      <c r="I94" s="318"/>
    </row>
    <row r="96" spans="2:14" x14ac:dyDescent="0.55000000000000004">
      <c r="I96" s="318"/>
    </row>
    <row r="97" spans="9:9" x14ac:dyDescent="0.55000000000000004">
      <c r="I97" s="318"/>
    </row>
  </sheetData>
  <mergeCells count="1">
    <mergeCell ref="C36:E36"/>
  </mergeCells>
  <phoneticPr fontId="2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>
    <oddFooter>&amp;C&amp;1#&amp;"Calibri"&amp;10&amp;K000000Confidential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AG111"/>
  <sheetViews>
    <sheetView workbookViewId="0">
      <selection activeCell="C6" sqref="C6"/>
    </sheetView>
  </sheetViews>
  <sheetFormatPr defaultColWidth="7.1015625" defaultRowHeight="11.7" x14ac:dyDescent="0.3"/>
  <cols>
    <col min="1" max="16384" width="7.1015625" style="2"/>
  </cols>
  <sheetData>
    <row r="1" spans="1:33" x14ac:dyDescent="0.3">
      <c r="A1" s="2" t="s">
        <v>213</v>
      </c>
    </row>
    <row r="3" spans="1:33" x14ac:dyDescent="0.3">
      <c r="A3" s="2" t="s">
        <v>214</v>
      </c>
    </row>
    <row r="4" spans="1:33" x14ac:dyDescent="0.3">
      <c r="A4" s="2" t="s">
        <v>215</v>
      </c>
    </row>
    <row r="5" spans="1:33" x14ac:dyDescent="0.3">
      <c r="A5" s="3" t="s">
        <v>216</v>
      </c>
      <c r="B5" s="3" t="s">
        <v>630</v>
      </c>
      <c r="C5" s="3" t="s">
        <v>631</v>
      </c>
      <c r="D5" s="3" t="s">
        <v>632</v>
      </c>
      <c r="E5" s="3" t="s">
        <v>633</v>
      </c>
      <c r="F5" s="3" t="s">
        <v>634</v>
      </c>
      <c r="G5" s="3" t="s">
        <v>635</v>
      </c>
      <c r="H5" s="3" t="s">
        <v>636</v>
      </c>
      <c r="I5" s="3" t="s">
        <v>637</v>
      </c>
      <c r="J5" s="3" t="s">
        <v>638</v>
      </c>
      <c r="K5" s="3" t="s">
        <v>639</v>
      </c>
      <c r="L5" s="3" t="s">
        <v>640</v>
      </c>
      <c r="M5" s="3" t="s">
        <v>641</v>
      </c>
      <c r="N5" s="3" t="s">
        <v>642</v>
      </c>
    </row>
    <row r="6" spans="1:33" x14ac:dyDescent="0.3">
      <c r="A6" s="16" t="s">
        <v>643</v>
      </c>
      <c r="B6" s="17">
        <v>32</v>
      </c>
      <c r="C6" s="3" t="e">
        <f ca="1">[1]!Pile(A6, 1)</f>
        <v>#NAME?</v>
      </c>
      <c r="D6" s="3" t="e">
        <f ca="1">[1]!Pile(A6, 12)*100</f>
        <v>#NAME?</v>
      </c>
      <c r="E6" s="3" t="e">
        <f ca="1">[1]!Pile(A6, 22)*10*10*10*10</f>
        <v>#NAME?</v>
      </c>
      <c r="F6" s="91" t="e">
        <f ca="1">[1]!Pile(A6, 25)*10*10*10</f>
        <v>#NAME?</v>
      </c>
      <c r="G6" s="19" t="e">
        <f ca="1">[1]!PilePcFx(A6,2,1)*9.80665/100</f>
        <v>#NAME?</v>
      </c>
      <c r="H6" s="20" t="e">
        <f ca="1">1-(IF(0&gt;+B6*1000/C6-$E$19,0,(B6*1000/C6-$E$19)/100))</f>
        <v>#NAME?</v>
      </c>
      <c r="I6" s="19" t="e">
        <f ca="1">[1]!PilePcFx(A6, 3,1)*9.80665/100</f>
        <v>#NAME?</v>
      </c>
      <c r="J6" s="19" t="e">
        <f ca="1">[1]!PilePcFx(A6, 3, 2)*9.80665/100</f>
        <v>#NAME?</v>
      </c>
      <c r="K6" s="19" t="e">
        <f ca="1">(I6-G6)*D6*H6/1000</f>
        <v>#NAME?</v>
      </c>
      <c r="L6" s="19" t="e">
        <f ca="1">(J6-G6)*D6*H6/1000</f>
        <v>#NAME?</v>
      </c>
      <c r="M6" s="34" t="e">
        <f ca="1">[1]!PilePcFx(A6, 4, 1)*9.80665/100</f>
        <v>#NAME?</v>
      </c>
      <c r="N6" s="34" t="e">
        <f ca="1">[1]!PilePcFx(A6, 4, 2)*9.80665/100</f>
        <v>#NAME?</v>
      </c>
    </row>
    <row r="7" spans="1:33" x14ac:dyDescent="0.3">
      <c r="A7" s="16" t="s">
        <v>644</v>
      </c>
      <c r="B7" s="17">
        <v>9</v>
      </c>
      <c r="C7" s="3" t="e">
        <f ca="1">[1]!Pile(A7, 1)</f>
        <v>#NAME?</v>
      </c>
      <c r="D7" s="3" t="e">
        <f ca="1">[1]!Pile(A7, 12)*100</f>
        <v>#NAME?</v>
      </c>
      <c r="E7" s="3" t="e">
        <f ca="1">[1]!Pile(A7, 22)*10*10*10*10</f>
        <v>#NAME?</v>
      </c>
      <c r="F7" s="91" t="e">
        <f ca="1">[1]!Pile(A7, 25)*10*10*10</f>
        <v>#NAME?</v>
      </c>
      <c r="G7" s="19" t="e">
        <f ca="1">[1]!PilePcFx(A7,2,1)*9.80665/100</f>
        <v>#NAME?</v>
      </c>
      <c r="H7" s="20" t="e">
        <f ca="1">1-(IF(0&gt;+B7*1000/C7-$E$19,0,(B7*1000/C7-$E$19)/100))</f>
        <v>#NAME?</v>
      </c>
      <c r="I7" s="19" t="e">
        <f ca="1">[1]!PilePcFx(A7, 3,1)*9.80665/100</f>
        <v>#NAME?</v>
      </c>
      <c r="J7" s="19" t="e">
        <f ca="1">[1]!PilePcFx(A7, 3, 2)*9.80665/100</f>
        <v>#NAME?</v>
      </c>
      <c r="K7" s="19" t="e">
        <f ca="1">(I7-G7)*D7*H7/1000</f>
        <v>#NAME?</v>
      </c>
      <c r="L7" s="19" t="e">
        <f ca="1">(J7-G7)*D7*H7/1000</f>
        <v>#NAME?</v>
      </c>
      <c r="M7" s="34" t="e">
        <f ca="1">[1]!PilePcFx(A7, 4, 1)*9.80665/100</f>
        <v>#NAME?</v>
      </c>
      <c r="N7" s="34" t="e">
        <f ca="1">[1]!PilePcFx(A7, 4, 2)*9.80665/100</f>
        <v>#NAME?</v>
      </c>
    </row>
    <row r="8" spans="1:33" x14ac:dyDescent="0.3">
      <c r="A8" s="16" t="s">
        <v>645</v>
      </c>
      <c r="B8" s="17">
        <v>9</v>
      </c>
      <c r="C8" s="3" t="e">
        <f ca="1">[1]!Pile(A8, 1)</f>
        <v>#NAME?</v>
      </c>
      <c r="D8" s="3" t="e">
        <f ca="1">[1]!Pile(A8, 12)*100</f>
        <v>#NAME?</v>
      </c>
      <c r="E8" s="3" t="e">
        <f ca="1">[1]!Pile(A8, 22)*10*10*10*10</f>
        <v>#NAME?</v>
      </c>
      <c r="F8" s="91" t="e">
        <f ca="1">[1]!Pile(A8, 25)*10*10*10</f>
        <v>#NAME?</v>
      </c>
      <c r="G8" s="19" t="e">
        <f ca="1">[1]!PilePcFx(A8,2,1)*9.80665/100</f>
        <v>#NAME?</v>
      </c>
      <c r="H8" s="20" t="e">
        <f ca="1">1-(IF(0&gt;+B8*1000/C8-$E$19,0,(B8*1000/C8-$E$19)/100))</f>
        <v>#NAME?</v>
      </c>
      <c r="I8" s="19" t="e">
        <f ca="1">[1]!PilePcFx(A8, 3,1)*9.80665/100</f>
        <v>#NAME?</v>
      </c>
      <c r="J8" s="19" t="e">
        <f ca="1">[1]!PilePcFx(A8, 3, 2)*9.80665/100</f>
        <v>#NAME?</v>
      </c>
      <c r="K8" s="19" t="e">
        <f ca="1">(I8-G8)*D8*H8/1000</f>
        <v>#NAME?</v>
      </c>
      <c r="L8" s="19" t="e">
        <f ca="1">(J8-G8)*D8*H8/1000</f>
        <v>#NAME?</v>
      </c>
      <c r="M8" s="34" t="e">
        <f ca="1">[1]!PilePcFx(A8, 4, 1)*9.80665/100</f>
        <v>#NAME?</v>
      </c>
      <c r="N8" s="34" t="e">
        <f ca="1">[1]!PilePcFx(A8, 4, 2)*9.80665/100</f>
        <v>#NAME?</v>
      </c>
      <c r="O8" s="4"/>
    </row>
    <row r="9" spans="1:33" x14ac:dyDescent="0.3">
      <c r="A9" s="16" t="s">
        <v>646</v>
      </c>
      <c r="B9" s="17">
        <v>9</v>
      </c>
      <c r="C9" s="3" t="e">
        <f ca="1">[1]!Pile(A9, 1)</f>
        <v>#NAME?</v>
      </c>
      <c r="D9" s="3" t="e">
        <f ca="1">[1]!Pile(A9, 12)*100</f>
        <v>#NAME?</v>
      </c>
      <c r="E9" s="3" t="e">
        <f ca="1">[1]!Pile(A9, 22)*10*10*10*10</f>
        <v>#NAME?</v>
      </c>
      <c r="F9" s="91" t="e">
        <f ca="1">[1]!Pile(A9, 25)*10*10*10</f>
        <v>#NAME?</v>
      </c>
      <c r="G9" s="19" t="e">
        <f ca="1">[1]!PilePcFx(A9,2,1)*9.80665/100</f>
        <v>#NAME?</v>
      </c>
      <c r="H9" s="20" t="e">
        <f ca="1">1-(IF(0&gt;+B9*1000/C9-$E$19,0,(B9*1000/C9-$E$19)/100))</f>
        <v>#NAME?</v>
      </c>
      <c r="I9" s="19" t="e">
        <f ca="1">[1]!PilePcFx(A9, 3,1)*9.80665/100</f>
        <v>#NAME?</v>
      </c>
      <c r="J9" s="19" t="e">
        <f ca="1">[1]!PilePcFx(A9, 3, 2)*9.80665/100</f>
        <v>#NAME?</v>
      </c>
      <c r="K9" s="19" t="e">
        <f ca="1">(I9-G9)*D9*H9/1000</f>
        <v>#NAME?</v>
      </c>
      <c r="L9" s="19" t="e">
        <f ca="1">(J9-G9)*D9*H9/1000</f>
        <v>#NAME?</v>
      </c>
      <c r="M9" s="34" t="e">
        <f ca="1">[1]!PilePcFx(A9, 4, 1)*9.80665/100</f>
        <v>#NAME?</v>
      </c>
      <c r="N9" s="34" t="e">
        <f ca="1">[1]!PilePcFx(A9, 4, 2)*9.80665/100</f>
        <v>#NAME?</v>
      </c>
    </row>
    <row r="10" spans="1:33" x14ac:dyDescent="0.3">
      <c r="A10" s="16" t="s">
        <v>647</v>
      </c>
      <c r="B10" s="17">
        <v>9</v>
      </c>
      <c r="C10" s="3" t="e">
        <f ca="1">[1]!Pile(A10, 1)</f>
        <v>#NAME?</v>
      </c>
      <c r="D10" s="3" t="e">
        <f ca="1">[1]!Pile(A10, 12)*100</f>
        <v>#NAME?</v>
      </c>
      <c r="E10" s="3" t="e">
        <f ca="1">[1]!Pile(A10, 22)*10*10*10*10</f>
        <v>#NAME?</v>
      </c>
      <c r="F10" s="91" t="e">
        <f ca="1">[1]!Pile(A10, 25)*10*10*10</f>
        <v>#NAME?</v>
      </c>
      <c r="G10" s="19" t="e">
        <f ca="1">[1]!PilePcFx(A10,2,1)*9.80665/100</f>
        <v>#NAME?</v>
      </c>
      <c r="H10" s="20" t="e">
        <f ca="1">1-(IF(0&gt;+B10*1000/C10-$E$19,0,(B10*1000/C10-$E$19)/100))</f>
        <v>#NAME?</v>
      </c>
      <c r="I10" s="19" t="e">
        <f ca="1">[1]!PilePcFx(A10, 3,1)*9.80665/100</f>
        <v>#NAME?</v>
      </c>
      <c r="J10" s="19" t="e">
        <f ca="1">[1]!PilePcFx(A10, 3, 2)*9.80665/100</f>
        <v>#NAME?</v>
      </c>
      <c r="K10" s="19" t="e">
        <f ca="1">(I10-G10)*D10*H10/1000</f>
        <v>#NAME?</v>
      </c>
      <c r="L10" s="19" t="e">
        <f ca="1">(J10-G10)*D10*H10/1000</f>
        <v>#NAME?</v>
      </c>
      <c r="M10" s="34" t="e">
        <f ca="1">[1]!PilePcFx(A10, 4, 1)*9.80665/100</f>
        <v>#NAME?</v>
      </c>
      <c r="N10" s="34" t="e">
        <f ca="1">[1]!PilePcFx(A10, 4, 2)*9.80665/100</f>
        <v>#NAME?</v>
      </c>
      <c r="S10" s="25"/>
    </row>
    <row r="11" spans="1:33" x14ac:dyDescent="0.3">
      <c r="A11" s="149"/>
      <c r="B11" s="17"/>
      <c r="C11" s="5"/>
      <c r="D11" s="5"/>
      <c r="E11" s="5"/>
      <c r="F11" s="150"/>
      <c r="G11" s="151"/>
      <c r="H11" s="143"/>
      <c r="I11" s="151"/>
      <c r="J11" s="151"/>
      <c r="K11" s="151"/>
      <c r="L11" s="151"/>
      <c r="M11" s="152"/>
      <c r="N11" s="152"/>
    </row>
    <row r="12" spans="1:33" ht="13.8" x14ac:dyDescent="0.3">
      <c r="A12" s="18" t="s">
        <v>217</v>
      </c>
      <c r="B12" s="443" t="s">
        <v>218</v>
      </c>
      <c r="C12" s="444"/>
      <c r="D12" s="444"/>
      <c r="E12" s="9" t="s">
        <v>648</v>
      </c>
      <c r="G12" s="18" t="s">
        <v>649</v>
      </c>
      <c r="H12" s="442" t="s">
        <v>219</v>
      </c>
      <c r="I12" s="442"/>
      <c r="J12" s="442"/>
      <c r="K12" s="2" t="s">
        <v>565</v>
      </c>
    </row>
    <row r="13" spans="1:33" ht="13.8" x14ac:dyDescent="0.3">
      <c r="A13" s="18" t="s">
        <v>650</v>
      </c>
      <c r="B13" s="443" t="s">
        <v>220</v>
      </c>
      <c r="C13" s="444"/>
      <c r="D13" s="444"/>
      <c r="E13" s="9" t="s">
        <v>651</v>
      </c>
      <c r="G13" s="18" t="s">
        <v>652</v>
      </c>
      <c r="H13" s="442" t="s">
        <v>221</v>
      </c>
      <c r="I13" s="442"/>
      <c r="J13" s="442"/>
      <c r="K13" s="2" t="s">
        <v>653</v>
      </c>
    </row>
    <row r="14" spans="1:33" ht="13.8" x14ac:dyDescent="0.3">
      <c r="A14" s="18" t="s">
        <v>654</v>
      </c>
      <c r="B14" s="443" t="s">
        <v>222</v>
      </c>
      <c r="C14" s="444"/>
      <c r="D14" s="444"/>
      <c r="E14" s="9" t="s">
        <v>655</v>
      </c>
      <c r="G14" s="18" t="s">
        <v>656</v>
      </c>
      <c r="H14" s="442" t="s">
        <v>223</v>
      </c>
      <c r="I14" s="442"/>
      <c r="J14" s="442"/>
      <c r="K14" s="2" t="s">
        <v>657</v>
      </c>
      <c r="L14" s="440" t="s">
        <v>658</v>
      </c>
      <c r="M14" s="441"/>
      <c r="AC14" s="18"/>
      <c r="AD14" s="24"/>
      <c r="AE14" s="3"/>
    </row>
    <row r="15" spans="1:33" ht="13.8" x14ac:dyDescent="0.3">
      <c r="A15" s="18" t="s">
        <v>659</v>
      </c>
      <c r="B15" s="443" t="s">
        <v>224</v>
      </c>
      <c r="C15" s="444"/>
      <c r="D15" s="444"/>
      <c r="E15" s="9" t="s">
        <v>660</v>
      </c>
      <c r="G15" s="18" t="s">
        <v>661</v>
      </c>
      <c r="H15" s="442" t="s">
        <v>225</v>
      </c>
      <c r="I15" s="442"/>
      <c r="J15" s="442"/>
      <c r="K15" s="2" t="s">
        <v>662</v>
      </c>
      <c r="L15" s="440" t="s">
        <v>663</v>
      </c>
      <c r="M15" s="441"/>
      <c r="S15" s="25"/>
      <c r="AC15" s="18"/>
      <c r="AD15" s="24"/>
      <c r="AG15" s="3"/>
    </row>
    <row r="16" spans="1:33" ht="13.8" x14ac:dyDescent="0.3">
      <c r="A16" s="18" t="s">
        <v>664</v>
      </c>
      <c r="B16" s="443" t="s">
        <v>226</v>
      </c>
      <c r="C16" s="444"/>
      <c r="D16" s="444"/>
      <c r="E16" s="9" t="s">
        <v>665</v>
      </c>
      <c r="G16" s="18" t="s">
        <v>666</v>
      </c>
      <c r="H16" s="442" t="s">
        <v>227</v>
      </c>
      <c r="I16" s="442"/>
      <c r="J16" s="442"/>
      <c r="K16" s="2" t="s">
        <v>667</v>
      </c>
      <c r="AD16" s="24"/>
    </row>
    <row r="17" spans="1:33" ht="13.8" x14ac:dyDescent="0.3">
      <c r="A17" s="18" t="s">
        <v>668</v>
      </c>
      <c r="B17" s="442" t="s">
        <v>228</v>
      </c>
      <c r="C17" s="442"/>
      <c r="D17" s="442"/>
      <c r="E17" s="2" t="s">
        <v>669</v>
      </c>
      <c r="G17" s="18" t="s">
        <v>670</v>
      </c>
      <c r="H17" s="442" t="s">
        <v>229</v>
      </c>
      <c r="I17" s="442"/>
      <c r="J17" s="442"/>
      <c r="K17" s="2" t="s">
        <v>671</v>
      </c>
      <c r="AC17" s="18"/>
      <c r="AD17" s="24"/>
      <c r="AG17" s="3"/>
    </row>
    <row r="18" spans="1:33" ht="12.9" x14ac:dyDescent="0.3">
      <c r="A18" s="18" t="s">
        <v>672</v>
      </c>
      <c r="B18" s="443" t="s">
        <v>230</v>
      </c>
      <c r="C18" s="444"/>
      <c r="D18" s="444"/>
      <c r="E18" s="443" t="s">
        <v>673</v>
      </c>
      <c r="F18" s="444"/>
      <c r="AC18" s="18"/>
      <c r="AD18" s="24"/>
      <c r="AG18" s="3"/>
    </row>
    <row r="19" spans="1:33" ht="12.9" x14ac:dyDescent="0.3">
      <c r="A19" s="18" t="s">
        <v>674</v>
      </c>
      <c r="B19" s="443" t="s">
        <v>231</v>
      </c>
      <c r="C19" s="444"/>
      <c r="D19" s="444"/>
      <c r="E19" s="24">
        <v>85</v>
      </c>
      <c r="AC19" s="18"/>
    </row>
    <row r="20" spans="1:33" x14ac:dyDescent="0.3">
      <c r="S20" s="25"/>
      <c r="AD20" s="24"/>
    </row>
    <row r="21" spans="1:33" x14ac:dyDescent="0.3">
      <c r="A21" s="442" t="s">
        <v>232</v>
      </c>
      <c r="B21" s="442"/>
      <c r="C21" s="442"/>
      <c r="G21" s="3"/>
    </row>
    <row r="22" spans="1:33" x14ac:dyDescent="0.3">
      <c r="A22" s="3" t="s">
        <v>216</v>
      </c>
      <c r="B22" s="3" t="s">
        <v>631</v>
      </c>
      <c r="C22" s="3" t="s">
        <v>675</v>
      </c>
      <c r="D22" s="3" t="s">
        <v>502</v>
      </c>
      <c r="E22" s="3" t="s">
        <v>778</v>
      </c>
      <c r="F22" s="3" t="s">
        <v>630</v>
      </c>
      <c r="G22" s="3" t="s">
        <v>676</v>
      </c>
      <c r="H22" s="3" t="s">
        <v>677</v>
      </c>
      <c r="I22" s="3" t="s">
        <v>678</v>
      </c>
      <c r="J22" s="3" t="s">
        <v>679</v>
      </c>
      <c r="K22" s="3" t="s">
        <v>680</v>
      </c>
      <c r="L22" s="3" t="s">
        <v>681</v>
      </c>
      <c r="M22" s="3" t="s">
        <v>682</v>
      </c>
      <c r="N22" s="3" t="s">
        <v>683</v>
      </c>
      <c r="O22" s="3" t="s">
        <v>684</v>
      </c>
    </row>
    <row r="23" spans="1:33" x14ac:dyDescent="0.3">
      <c r="A23" s="26"/>
      <c r="B23" s="20">
        <v>0.9</v>
      </c>
      <c r="C23" s="27">
        <f>B23^2*PI()/4</f>
        <v>0.63617251235193317</v>
      </c>
      <c r="D23" s="3">
        <f>B23*3.14</f>
        <v>2.8260000000000001</v>
      </c>
      <c r="E23" s="3">
        <v>150</v>
      </c>
      <c r="F23" s="17">
        <v>7</v>
      </c>
      <c r="G23" s="92">
        <v>40</v>
      </c>
      <c r="H23" s="92">
        <v>0</v>
      </c>
      <c r="I23" s="17">
        <v>0</v>
      </c>
      <c r="J23" s="17">
        <v>0</v>
      </c>
      <c r="K23" s="17">
        <v>0</v>
      </c>
      <c r="L23" s="22">
        <f>1/3*E23*C23*G23</f>
        <v>1272.3450247038663</v>
      </c>
      <c r="M23" s="21">
        <f>1/3*(H23*I23*10/3+1/2*J23*K23)*D23</f>
        <v>0</v>
      </c>
      <c r="N23" s="22">
        <f>+L23+M23</f>
        <v>1272.3450247038663</v>
      </c>
      <c r="O23" s="22">
        <f>N23*2</f>
        <v>2544.6900494077327</v>
      </c>
      <c r="Q23" s="2">
        <f>1*1*20*2</f>
        <v>40</v>
      </c>
    </row>
    <row r="24" spans="1:33" x14ac:dyDescent="0.3">
      <c r="A24" s="26"/>
      <c r="B24" s="20">
        <v>1.2</v>
      </c>
      <c r="C24" s="27">
        <f t="shared" ref="C24:C28" si="0">B24^2*PI()/4</f>
        <v>1.1309733552923256</v>
      </c>
      <c r="D24" s="3">
        <f>B24*3.14</f>
        <v>3.7679999999999998</v>
      </c>
      <c r="E24" s="3">
        <v>150</v>
      </c>
      <c r="F24" s="17">
        <v>7</v>
      </c>
      <c r="G24" s="92">
        <v>40</v>
      </c>
      <c r="H24" s="92">
        <v>0</v>
      </c>
      <c r="I24" s="17">
        <v>0</v>
      </c>
      <c r="J24" s="17">
        <v>0</v>
      </c>
      <c r="K24" s="17">
        <v>0</v>
      </c>
      <c r="L24" s="22">
        <f t="shared" ref="L24:L27" si="1">1/3*E24*C24*G24</f>
        <v>2261.9467105846511</v>
      </c>
      <c r="M24" s="21">
        <f>1/3*(H24*I24*10/3+1/2*J24*K24)*D24</f>
        <v>0</v>
      </c>
      <c r="N24" s="22">
        <f>+L24+M24</f>
        <v>2261.9467105846511</v>
      </c>
      <c r="O24" s="22">
        <f>N24*2</f>
        <v>4523.8934211693022</v>
      </c>
    </row>
    <row r="25" spans="1:33" x14ac:dyDescent="0.3">
      <c r="A25" s="26"/>
      <c r="B25" s="20">
        <v>1.6</v>
      </c>
      <c r="C25" s="27">
        <f t="shared" si="0"/>
        <v>2.0106192982974678</v>
      </c>
      <c r="D25" s="3">
        <f>B25*3.14</f>
        <v>5.0240000000000009</v>
      </c>
      <c r="E25" s="3">
        <v>150</v>
      </c>
      <c r="F25" s="17">
        <v>7</v>
      </c>
      <c r="G25" s="92">
        <v>40</v>
      </c>
      <c r="H25" s="92">
        <v>0</v>
      </c>
      <c r="I25" s="17">
        <v>0</v>
      </c>
      <c r="J25" s="17">
        <v>0</v>
      </c>
      <c r="K25" s="17">
        <v>0</v>
      </c>
      <c r="L25" s="22">
        <f>1/3*E25*C25*G25</f>
        <v>4021.2385965949356</v>
      </c>
      <c r="M25" s="21">
        <f>1/3*(H25*I25*10/3+1/2*J25*K25)*D25</f>
        <v>0</v>
      </c>
      <c r="N25" s="22">
        <f>+L25+M25</f>
        <v>4021.2385965949356</v>
      </c>
      <c r="O25" s="22">
        <f>N25*2</f>
        <v>8042.4771931898713</v>
      </c>
      <c r="P25" s="4"/>
    </row>
    <row r="26" spans="1:33" x14ac:dyDescent="0.3">
      <c r="A26" s="26"/>
      <c r="B26" s="20">
        <v>1.8</v>
      </c>
      <c r="C26" s="27">
        <f t="shared" si="0"/>
        <v>2.5446900494077327</v>
      </c>
      <c r="D26" s="3">
        <f>B26*3.14</f>
        <v>5.6520000000000001</v>
      </c>
      <c r="E26" s="3">
        <v>150</v>
      </c>
      <c r="F26" s="17">
        <v>7</v>
      </c>
      <c r="G26" s="92">
        <v>40</v>
      </c>
      <c r="H26" s="92">
        <v>0</v>
      </c>
      <c r="I26" s="17">
        <v>0</v>
      </c>
      <c r="J26" s="17">
        <v>0</v>
      </c>
      <c r="K26" s="17">
        <v>0</v>
      </c>
      <c r="L26" s="22">
        <f t="shared" si="1"/>
        <v>5089.3800988154653</v>
      </c>
      <c r="M26" s="21">
        <f>1/3*(H26*I26*10/3+1/2*J26*K26)*D26</f>
        <v>0</v>
      </c>
      <c r="N26" s="22">
        <f>+L26+M26</f>
        <v>5089.3800988154653</v>
      </c>
      <c r="O26" s="22">
        <f>N26*2</f>
        <v>10178.760197630931</v>
      </c>
      <c r="T26" s="25"/>
    </row>
    <row r="27" spans="1:33" x14ac:dyDescent="0.3">
      <c r="A27" s="26"/>
      <c r="B27" s="20">
        <v>2</v>
      </c>
      <c r="C27" s="27">
        <f t="shared" si="0"/>
        <v>3.1415926535897931</v>
      </c>
      <c r="D27" s="3">
        <f>B27*3.14</f>
        <v>6.28</v>
      </c>
      <c r="E27" s="3">
        <v>150</v>
      </c>
      <c r="F27" s="17">
        <v>7</v>
      </c>
      <c r="G27" s="92">
        <v>40</v>
      </c>
      <c r="H27" s="92">
        <v>0</v>
      </c>
      <c r="I27" s="17">
        <v>0</v>
      </c>
      <c r="J27" s="17">
        <v>0</v>
      </c>
      <c r="K27" s="17">
        <v>0</v>
      </c>
      <c r="L27" s="22">
        <f t="shared" si="1"/>
        <v>6283.1853071795867</v>
      </c>
      <c r="M27" s="21">
        <f>1/3*(H27*I27*10/3+1/2*J27*K27)*D27</f>
        <v>0</v>
      </c>
      <c r="N27" s="22">
        <f>+L27+M27</f>
        <v>6283.1853071795867</v>
      </c>
      <c r="O27" s="22">
        <f>N27*2</f>
        <v>12566.370614359173</v>
      </c>
    </row>
    <row r="28" spans="1:33" x14ac:dyDescent="0.3">
      <c r="A28" s="26"/>
      <c r="B28" s="20">
        <v>2.5</v>
      </c>
      <c r="C28" s="27">
        <f t="shared" si="0"/>
        <v>4.908738521234052</v>
      </c>
      <c r="D28" s="3">
        <f t="shared" ref="D28" si="2">B28*3.14</f>
        <v>7.8500000000000005</v>
      </c>
      <c r="E28" s="3">
        <v>150</v>
      </c>
      <c r="F28" s="17">
        <v>7</v>
      </c>
      <c r="G28" s="92">
        <v>40</v>
      </c>
      <c r="H28" s="92">
        <v>0</v>
      </c>
      <c r="I28" s="17">
        <v>0</v>
      </c>
      <c r="J28" s="17">
        <v>0</v>
      </c>
      <c r="K28" s="17">
        <v>0</v>
      </c>
      <c r="L28" s="22">
        <f t="shared" ref="L28" si="3">1/3*E28*C28*G28</f>
        <v>9817.4770424681046</v>
      </c>
      <c r="M28" s="21">
        <f t="shared" ref="M28" si="4">1/3*(H28*I28*10/3+1/2*J28*K28)*D28</f>
        <v>0</v>
      </c>
      <c r="N28" s="22">
        <f t="shared" ref="N28" si="5">+L28+M28</f>
        <v>9817.4770424681046</v>
      </c>
      <c r="O28" s="22">
        <f t="shared" ref="O28" si="6">N28*2</f>
        <v>19634.954084936209</v>
      </c>
    </row>
    <row r="29" spans="1:33" x14ac:dyDescent="0.3">
      <c r="A29" s="26"/>
      <c r="B29" s="20"/>
      <c r="C29" s="27"/>
      <c r="D29" s="3"/>
      <c r="E29" s="3"/>
      <c r="F29" s="17"/>
      <c r="G29" s="92"/>
      <c r="H29" s="92"/>
      <c r="I29" s="17"/>
      <c r="J29" s="17"/>
      <c r="K29" s="17"/>
      <c r="L29" s="22"/>
      <c r="M29" s="21"/>
      <c r="N29" s="22"/>
      <c r="O29" s="22"/>
    </row>
    <row r="30" spans="1:33" x14ac:dyDescent="0.3">
      <c r="A30" s="26"/>
      <c r="B30" s="20"/>
      <c r="C30" s="27"/>
      <c r="D30" s="3"/>
      <c r="E30" s="3"/>
      <c r="F30" s="17"/>
      <c r="G30" s="92"/>
      <c r="H30" s="92"/>
      <c r="I30" s="17"/>
      <c r="J30" s="17"/>
      <c r="K30" s="17"/>
      <c r="L30" s="22"/>
      <c r="M30" s="21"/>
      <c r="N30" s="22"/>
      <c r="O30" s="22"/>
    </row>
    <row r="31" spans="1:33" x14ac:dyDescent="0.3">
      <c r="A31" s="26"/>
      <c r="B31" s="20"/>
      <c r="C31" s="27"/>
      <c r="D31" s="3"/>
      <c r="E31" s="3"/>
      <c r="F31" s="17"/>
      <c r="G31" s="92"/>
      <c r="H31" s="92"/>
      <c r="I31" s="17"/>
      <c r="J31" s="27"/>
      <c r="K31" s="17"/>
      <c r="L31" s="22"/>
      <c r="M31" s="21"/>
      <c r="N31" s="22"/>
      <c r="O31" s="22"/>
    </row>
    <row r="32" spans="1:33" x14ac:dyDescent="0.3">
      <c r="A32" s="26"/>
      <c r="B32" s="20"/>
      <c r="C32" s="27"/>
      <c r="D32" s="3"/>
      <c r="E32" s="3"/>
      <c r="F32" s="17"/>
      <c r="G32" s="92"/>
      <c r="H32" s="92"/>
      <c r="I32" s="17"/>
      <c r="J32" s="17"/>
      <c r="K32" s="17"/>
      <c r="L32" s="22"/>
      <c r="M32" s="21"/>
      <c r="N32" s="22"/>
      <c r="O32" s="22"/>
    </row>
    <row r="33" spans="1:19" x14ac:dyDescent="0.3">
      <c r="A33" s="26"/>
      <c r="B33" s="20"/>
      <c r="C33" s="27"/>
      <c r="D33" s="3"/>
      <c r="E33" s="3"/>
      <c r="F33" s="17"/>
      <c r="G33" s="92"/>
      <c r="H33" s="92"/>
      <c r="I33" s="17"/>
      <c r="J33" s="17"/>
      <c r="K33" s="17"/>
      <c r="L33" s="22"/>
      <c r="M33" s="21"/>
      <c r="N33" s="22"/>
      <c r="O33" s="22"/>
    </row>
    <row r="34" spans="1:19" x14ac:dyDescent="0.3">
      <c r="A34" s="26"/>
      <c r="B34" s="20"/>
      <c r="C34" s="27"/>
      <c r="D34" s="3"/>
      <c r="E34" s="3"/>
      <c r="F34" s="17"/>
      <c r="G34" s="92"/>
      <c r="H34" s="92"/>
      <c r="I34" s="17"/>
      <c r="J34" s="17"/>
      <c r="K34" s="17"/>
      <c r="L34" s="22"/>
      <c r="M34" s="21"/>
      <c r="N34" s="22"/>
      <c r="O34" s="22"/>
    </row>
    <row r="35" spans="1:19" x14ac:dyDescent="0.3">
      <c r="A35" s="142"/>
      <c r="B35" s="143"/>
      <c r="C35" s="144"/>
      <c r="D35" s="5"/>
      <c r="E35" s="145"/>
      <c r="F35" s="92"/>
      <c r="G35" s="92"/>
      <c r="H35" s="17"/>
      <c r="I35" s="145"/>
      <c r="J35" s="145"/>
      <c r="K35" s="146"/>
      <c r="L35" s="148"/>
      <c r="M35" s="146"/>
      <c r="N35" s="146"/>
    </row>
    <row r="36" spans="1:19" x14ac:dyDescent="0.3">
      <c r="A36" s="18" t="s">
        <v>217</v>
      </c>
      <c r="B36" s="24" t="s">
        <v>218</v>
      </c>
      <c r="C36" s="3" t="s">
        <v>685</v>
      </c>
      <c r="D36" s="17"/>
      <c r="G36" s="17"/>
      <c r="J36" s="18" t="s">
        <v>686</v>
      </c>
      <c r="K36" s="2" t="s">
        <v>234</v>
      </c>
      <c r="M36" s="3" t="s">
        <v>687</v>
      </c>
    </row>
    <row r="37" spans="1:19" x14ac:dyDescent="0.3">
      <c r="A37" s="18" t="s">
        <v>233</v>
      </c>
      <c r="B37" s="2" t="s">
        <v>500</v>
      </c>
      <c r="K37" s="2" t="s">
        <v>688</v>
      </c>
      <c r="L37" s="30"/>
      <c r="M37" s="25"/>
    </row>
    <row r="38" spans="1:19" x14ac:dyDescent="0.3">
      <c r="A38" s="18" t="s">
        <v>689</v>
      </c>
      <c r="B38" s="2" t="s">
        <v>235</v>
      </c>
      <c r="C38" s="3" t="s">
        <v>690</v>
      </c>
      <c r="K38" s="18" t="s">
        <v>691</v>
      </c>
      <c r="L38" s="24" t="s">
        <v>237</v>
      </c>
      <c r="N38" s="24" t="s">
        <v>692</v>
      </c>
    </row>
    <row r="39" spans="1:19" ht="13.8" x14ac:dyDescent="0.3">
      <c r="A39" s="18" t="s">
        <v>693</v>
      </c>
      <c r="B39" s="24" t="s">
        <v>236</v>
      </c>
      <c r="C39" s="20"/>
      <c r="K39" s="18" t="s">
        <v>694</v>
      </c>
      <c r="L39" s="24" t="s">
        <v>239</v>
      </c>
      <c r="N39" s="24" t="s">
        <v>695</v>
      </c>
    </row>
    <row r="40" spans="1:19" x14ac:dyDescent="0.3">
      <c r="A40" s="31" t="s">
        <v>696</v>
      </c>
      <c r="B40" s="24" t="s">
        <v>238</v>
      </c>
      <c r="E40" s="3" t="s">
        <v>697</v>
      </c>
      <c r="J40" s="18" t="s">
        <v>698</v>
      </c>
      <c r="K40" s="2" t="s">
        <v>241</v>
      </c>
      <c r="M40" s="3" t="s">
        <v>91</v>
      </c>
      <c r="S40" s="25"/>
    </row>
    <row r="41" spans="1:19" x14ac:dyDescent="0.3">
      <c r="A41" s="31" t="s">
        <v>699</v>
      </c>
      <c r="B41" s="24" t="s">
        <v>240</v>
      </c>
      <c r="K41" s="24" t="s">
        <v>700</v>
      </c>
      <c r="O41" s="23"/>
    </row>
    <row r="42" spans="1:19" x14ac:dyDescent="0.3">
      <c r="A42" s="18" t="s">
        <v>701</v>
      </c>
      <c r="B42" s="24" t="s">
        <v>242</v>
      </c>
      <c r="C42" s="32"/>
      <c r="E42" s="3" t="s">
        <v>697</v>
      </c>
      <c r="J42" s="18" t="s">
        <v>702</v>
      </c>
      <c r="K42" s="2" t="s">
        <v>244</v>
      </c>
      <c r="O42" s="3" t="s">
        <v>90</v>
      </c>
    </row>
    <row r="43" spans="1:19" ht="13.8" x14ac:dyDescent="0.3">
      <c r="A43" s="28" t="s">
        <v>703</v>
      </c>
      <c r="B43" s="24" t="s">
        <v>243</v>
      </c>
      <c r="F43" s="3" t="s">
        <v>704</v>
      </c>
      <c r="J43" s="18" t="s">
        <v>705</v>
      </c>
      <c r="K43" s="2" t="s">
        <v>246</v>
      </c>
      <c r="O43" s="3" t="s">
        <v>706</v>
      </c>
    </row>
    <row r="44" spans="1:19" x14ac:dyDescent="0.3">
      <c r="B44" s="18" t="s">
        <v>707</v>
      </c>
      <c r="C44" s="24" t="s">
        <v>245</v>
      </c>
    </row>
    <row r="45" spans="1:19" ht="13.8" x14ac:dyDescent="0.3">
      <c r="C45" s="18" t="s">
        <v>708</v>
      </c>
      <c r="D45" s="90">
        <f>G44/8.2</f>
        <v>0</v>
      </c>
      <c r="E45" s="2" t="s">
        <v>709</v>
      </c>
      <c r="F45" s="24" t="s">
        <v>247</v>
      </c>
      <c r="G45" s="96"/>
      <c r="H45" s="96"/>
    </row>
    <row r="46" spans="1:19" x14ac:dyDescent="0.3">
      <c r="D46" s="18"/>
    </row>
    <row r="54" spans="1:11" x14ac:dyDescent="0.3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</row>
    <row r="55" spans="1:11" x14ac:dyDescent="0.3">
      <c r="A55" s="3"/>
      <c r="B55" s="3"/>
      <c r="C55" s="3"/>
      <c r="F55" s="3"/>
      <c r="G55" s="33"/>
      <c r="H55" s="23"/>
      <c r="I55" s="34"/>
      <c r="J55" s="9"/>
      <c r="K55" s="20"/>
    </row>
    <row r="56" spans="1:11" x14ac:dyDescent="0.3">
      <c r="A56" s="3"/>
      <c r="B56" s="3"/>
      <c r="C56" s="3"/>
      <c r="F56" s="3"/>
      <c r="G56" s="33"/>
      <c r="H56" s="23"/>
      <c r="I56" s="34"/>
      <c r="J56" s="9"/>
      <c r="K56" s="20"/>
    </row>
    <row r="57" spans="1:11" x14ac:dyDescent="0.3">
      <c r="A57" s="3"/>
      <c r="B57" s="3"/>
      <c r="C57" s="3"/>
      <c r="F57" s="3"/>
      <c r="G57" s="33"/>
      <c r="H57" s="23"/>
      <c r="I57" s="34"/>
      <c r="J57" s="9"/>
      <c r="K57" s="20"/>
    </row>
    <row r="63" spans="1:11" x14ac:dyDescent="0.3">
      <c r="A63" s="18"/>
      <c r="F63" s="3"/>
      <c r="I63" s="18"/>
      <c r="K63" s="18"/>
    </row>
    <row r="64" spans="1:11" x14ac:dyDescent="0.3">
      <c r="A64" s="18"/>
      <c r="F64" s="18"/>
    </row>
    <row r="65" spans="1:11" x14ac:dyDescent="0.3">
      <c r="A65" s="18"/>
      <c r="F65" s="18"/>
      <c r="K65" s="18"/>
    </row>
    <row r="66" spans="1:11" x14ac:dyDescent="0.3">
      <c r="A66" s="18"/>
      <c r="F66" s="18"/>
      <c r="K66" s="3"/>
    </row>
    <row r="67" spans="1:11" x14ac:dyDescent="0.3">
      <c r="F67" s="18"/>
    </row>
    <row r="84" spans="1:16" x14ac:dyDescent="0.3">
      <c r="A84" s="24"/>
    </row>
    <row r="85" spans="1:16" x14ac:dyDescent="0.3">
      <c r="A85" s="9"/>
    </row>
    <row r="88" spans="1:16" x14ac:dyDescent="0.3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</row>
    <row r="89" spans="1:16" x14ac:dyDescent="0.3">
      <c r="A89" s="3"/>
      <c r="B89" s="20"/>
      <c r="C89" s="3"/>
      <c r="D89" s="3"/>
      <c r="E89" s="3"/>
      <c r="F89" s="33"/>
      <c r="G89" s="19"/>
      <c r="H89" s="18"/>
      <c r="I89" s="35"/>
      <c r="J89" s="3"/>
      <c r="K89" s="3"/>
      <c r="L89" s="33"/>
      <c r="M89" s="20"/>
      <c r="N89" s="20"/>
      <c r="O89" s="20"/>
      <c r="P89" s="20"/>
    </row>
    <row r="90" spans="1:16" x14ac:dyDescent="0.3">
      <c r="A90" s="3"/>
      <c r="B90" s="20"/>
      <c r="C90" s="3"/>
      <c r="D90" s="3"/>
      <c r="E90" s="3"/>
      <c r="F90" s="33"/>
      <c r="G90" s="19"/>
      <c r="H90" s="18"/>
      <c r="I90" s="35"/>
      <c r="J90" s="3"/>
      <c r="K90" s="3"/>
      <c r="L90" s="33"/>
      <c r="M90" s="20"/>
      <c r="N90" s="20"/>
      <c r="O90" s="20"/>
      <c r="P90" s="20"/>
    </row>
    <row r="91" spans="1:16" x14ac:dyDescent="0.3">
      <c r="A91" s="3"/>
      <c r="B91" s="20"/>
      <c r="C91" s="3"/>
      <c r="D91" s="3"/>
      <c r="E91" s="3"/>
      <c r="F91" s="33"/>
      <c r="G91" s="19"/>
      <c r="H91" s="18"/>
      <c r="I91" s="35"/>
      <c r="J91" s="3"/>
      <c r="K91" s="3"/>
      <c r="L91" s="33"/>
      <c r="M91" s="20"/>
      <c r="N91" s="20"/>
      <c r="O91" s="20"/>
      <c r="P91" s="20"/>
    </row>
    <row r="92" spans="1:16" x14ac:dyDescent="0.3">
      <c r="J92" s="3"/>
    </row>
    <row r="95" spans="1:16" x14ac:dyDescent="0.3">
      <c r="A95" s="18"/>
      <c r="J95" s="18"/>
    </row>
    <row r="96" spans="1:16" x14ac:dyDescent="0.3">
      <c r="A96" s="18"/>
      <c r="J96" s="18"/>
    </row>
    <row r="97" spans="1:17" x14ac:dyDescent="0.3">
      <c r="A97" s="18"/>
    </row>
    <row r="98" spans="1:17" x14ac:dyDescent="0.3">
      <c r="A98" s="18"/>
      <c r="B98" s="24"/>
      <c r="G98" s="24"/>
      <c r="J98" s="18"/>
    </row>
    <row r="99" spans="1:17" x14ac:dyDescent="0.3">
      <c r="A99" s="18"/>
      <c r="E99" s="24"/>
      <c r="J99" s="18"/>
    </row>
    <row r="100" spans="1:17" x14ac:dyDescent="0.3">
      <c r="B100" s="24"/>
      <c r="J100" s="18"/>
    </row>
    <row r="101" spans="1:17" x14ac:dyDescent="0.3">
      <c r="A101" s="18"/>
      <c r="E101" s="24"/>
      <c r="J101" s="18"/>
    </row>
    <row r="102" spans="1:17" x14ac:dyDescent="0.3">
      <c r="A102" s="18"/>
      <c r="B102" s="24"/>
      <c r="E102" s="3"/>
      <c r="J102" s="18"/>
    </row>
    <row r="103" spans="1:17" x14ac:dyDescent="0.3">
      <c r="A103" s="18"/>
      <c r="B103" s="24"/>
      <c r="C103" s="24"/>
      <c r="F103" s="24"/>
    </row>
    <row r="107" spans="1:17" x14ac:dyDescent="0.3">
      <c r="A107" s="4"/>
      <c r="B107" s="4"/>
      <c r="C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Q107" s="4"/>
    </row>
    <row r="108" spans="1:17" x14ac:dyDescent="0.3">
      <c r="A108" s="4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Q108" s="4"/>
    </row>
    <row r="109" spans="1:17" x14ac:dyDescent="0.3">
      <c r="A109" s="4"/>
      <c r="B109" s="29"/>
      <c r="C109" s="29"/>
      <c r="D109" s="29"/>
      <c r="E109" s="29"/>
      <c r="F109" s="36"/>
      <c r="G109" s="29"/>
      <c r="H109" s="29"/>
      <c r="I109" s="29"/>
      <c r="J109" s="29"/>
      <c r="K109" s="29"/>
      <c r="L109" s="29"/>
      <c r="M109" s="36"/>
      <c r="N109" s="29"/>
      <c r="O109" s="29"/>
      <c r="Q109" s="4"/>
    </row>
    <row r="110" spans="1:17" x14ac:dyDescent="0.3">
      <c r="A110" s="4"/>
      <c r="B110" s="29"/>
      <c r="C110" s="29"/>
      <c r="D110" s="29"/>
      <c r="E110" s="29"/>
      <c r="F110" s="36"/>
      <c r="G110" s="29"/>
      <c r="H110" s="29"/>
      <c r="I110" s="29"/>
      <c r="J110" s="29"/>
      <c r="K110" s="29"/>
      <c r="L110" s="29"/>
      <c r="M110" s="36"/>
      <c r="N110" s="29"/>
      <c r="O110" s="29"/>
      <c r="P110" s="4"/>
      <c r="Q110" s="4"/>
    </row>
    <row r="111" spans="1:17" x14ac:dyDescent="0.3">
      <c r="A111" s="4"/>
      <c r="B111" s="29"/>
      <c r="C111" s="29"/>
      <c r="D111" s="29"/>
      <c r="E111" s="29"/>
      <c r="F111" s="36"/>
      <c r="G111" s="29"/>
      <c r="H111" s="29"/>
      <c r="I111" s="29"/>
      <c r="J111" s="29"/>
      <c r="K111" s="29"/>
      <c r="L111" s="29"/>
      <c r="M111" s="36"/>
      <c r="N111" s="29"/>
      <c r="O111" s="29"/>
      <c r="P111" s="4"/>
      <c r="Q111" s="4"/>
    </row>
  </sheetData>
  <mergeCells count="18">
    <mergeCell ref="H12:J12"/>
    <mergeCell ref="H13:J13"/>
    <mergeCell ref="H14:J14"/>
    <mergeCell ref="H15:J15"/>
    <mergeCell ref="B12:D12"/>
    <mergeCell ref="B13:D13"/>
    <mergeCell ref="B14:D14"/>
    <mergeCell ref="B15:D15"/>
    <mergeCell ref="L14:M14"/>
    <mergeCell ref="L15:M15"/>
    <mergeCell ref="A21:C21"/>
    <mergeCell ref="B19:D19"/>
    <mergeCell ref="H16:J16"/>
    <mergeCell ref="H17:J17"/>
    <mergeCell ref="B16:D16"/>
    <mergeCell ref="B17:D17"/>
    <mergeCell ref="B18:D18"/>
    <mergeCell ref="E18:F18"/>
  </mergeCells>
  <phoneticPr fontId="2"/>
  <pageMargins left="0.78740157480314965" right="0.78740157480314965" top="0.98425196850393704" bottom="0.98425196850393704" header="0.51181102362204722" footer="0.51181102362204722"/>
  <pageSetup paperSize="9" orientation="landscape" horizontalDpi="300" verticalDpi="300" r:id="rId1"/>
  <headerFooter alignWithMargins="0">
    <oddFooter>&amp;C&amp;1#&amp;"Calibri"&amp;10&amp;K000000Confidential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BA971-5B06-411F-A4F5-CD56ABB9E3FA}">
  <sheetPr codeName="Sheet13"/>
  <dimension ref="A1:Y30"/>
  <sheetViews>
    <sheetView workbookViewId="0">
      <selection activeCell="B8" sqref="B8"/>
    </sheetView>
  </sheetViews>
  <sheetFormatPr defaultColWidth="9" defaultRowHeight="12.9" x14ac:dyDescent="0.3"/>
  <cols>
    <col min="1" max="1" width="22.1015625" style="188" customWidth="1"/>
    <col min="2" max="3" width="6.62890625" style="188" customWidth="1"/>
    <col min="4" max="4" width="15.26171875" style="188" customWidth="1"/>
    <col min="5" max="10" width="6.62890625" style="188" customWidth="1"/>
    <col min="11" max="11" width="8.62890625" style="188" customWidth="1"/>
    <col min="12" max="12" width="7.26171875" style="188" customWidth="1"/>
    <col min="13" max="13" width="10" style="188" bestFit="1" customWidth="1"/>
    <col min="14" max="14" width="15.3671875" style="188" customWidth="1"/>
    <col min="15" max="15" width="9" style="188"/>
    <col min="16" max="16" width="7.26171875" style="188" customWidth="1"/>
    <col min="17" max="17" width="12.3671875" style="188" customWidth="1"/>
    <col min="18" max="18" width="9.89453125" style="188" customWidth="1"/>
    <col min="19" max="16384" width="9" style="188"/>
  </cols>
  <sheetData>
    <row r="1" spans="1:25" x14ac:dyDescent="0.3">
      <c r="G1" s="188">
        <v>21</v>
      </c>
      <c r="P1" s="188">
        <v>26</v>
      </c>
    </row>
    <row r="2" spans="1:25" x14ac:dyDescent="0.3">
      <c r="A2" s="188">
        <v>1</v>
      </c>
      <c r="B2" s="188">
        <v>2</v>
      </c>
      <c r="C2" s="188">
        <v>3</v>
      </c>
      <c r="D2" s="188">
        <v>4</v>
      </c>
      <c r="E2" s="188">
        <v>5</v>
      </c>
      <c r="F2" s="188">
        <v>6</v>
      </c>
      <c r="G2" s="188">
        <v>7</v>
      </c>
      <c r="H2" s="188">
        <v>8</v>
      </c>
      <c r="I2" s="188">
        <v>9</v>
      </c>
      <c r="J2" s="188">
        <v>10</v>
      </c>
      <c r="K2" s="188">
        <v>11</v>
      </c>
      <c r="L2" s="188">
        <v>12</v>
      </c>
      <c r="M2" s="188">
        <v>13</v>
      </c>
      <c r="N2" s="188">
        <v>14</v>
      </c>
      <c r="O2" s="188">
        <v>15</v>
      </c>
      <c r="P2" s="188">
        <v>16</v>
      </c>
      <c r="Q2" s="188">
        <v>17</v>
      </c>
      <c r="R2" s="188">
        <v>18</v>
      </c>
      <c r="S2" s="188">
        <v>19</v>
      </c>
      <c r="T2" s="188">
        <v>20</v>
      </c>
      <c r="U2" s="188">
        <v>21</v>
      </c>
      <c r="V2" s="188">
        <v>22</v>
      </c>
      <c r="W2" s="188">
        <v>23</v>
      </c>
      <c r="X2" s="188">
        <v>24</v>
      </c>
    </row>
    <row r="3" spans="1:25" x14ac:dyDescent="0.3">
      <c r="A3" s="189" t="s">
        <v>719</v>
      </c>
      <c r="B3" s="190"/>
      <c r="C3" s="191" t="s">
        <v>720</v>
      </c>
      <c r="D3" s="191" t="s">
        <v>721</v>
      </c>
      <c r="E3" s="188">
        <v>6</v>
      </c>
      <c r="G3" s="191" t="s">
        <v>722</v>
      </c>
      <c r="H3" s="191" t="s">
        <v>723</v>
      </c>
      <c r="I3" s="191" t="s">
        <v>724</v>
      </c>
      <c r="J3" s="191" t="s">
        <v>723</v>
      </c>
      <c r="K3" s="191" t="s">
        <v>724</v>
      </c>
      <c r="L3" s="191" t="s">
        <v>723</v>
      </c>
      <c r="M3" s="191" t="s">
        <v>723</v>
      </c>
      <c r="O3" s="191" t="s">
        <v>724</v>
      </c>
      <c r="P3" s="191" t="s">
        <v>723</v>
      </c>
      <c r="Q3" s="191" t="s">
        <v>725</v>
      </c>
      <c r="R3" s="191" t="s">
        <v>726</v>
      </c>
      <c r="S3" s="191" t="s">
        <v>727</v>
      </c>
      <c r="T3" s="191" t="s">
        <v>728</v>
      </c>
      <c r="U3" s="191" t="s">
        <v>729</v>
      </c>
      <c r="V3" s="191" t="s">
        <v>727</v>
      </c>
      <c r="W3" s="191" t="s">
        <v>730</v>
      </c>
      <c r="X3" s="191" t="s">
        <v>731</v>
      </c>
      <c r="Y3" s="191" t="s">
        <v>732</v>
      </c>
    </row>
    <row r="4" spans="1:25" x14ac:dyDescent="0.3">
      <c r="A4" s="189" t="s">
        <v>733</v>
      </c>
      <c r="B4" s="190">
        <v>600</v>
      </c>
      <c r="C4" s="192">
        <v>3</v>
      </c>
      <c r="D4" s="191" t="s">
        <v>734</v>
      </c>
      <c r="E4" s="191" t="s">
        <v>735</v>
      </c>
      <c r="F4" s="188">
        <v>16</v>
      </c>
      <c r="G4" s="188">
        <v>1.3</v>
      </c>
      <c r="H4" s="188">
        <v>1</v>
      </c>
      <c r="I4" s="188">
        <v>1.2999999523162842</v>
      </c>
      <c r="J4" s="188">
        <v>1</v>
      </c>
      <c r="K4" s="193">
        <v>0</v>
      </c>
      <c r="L4" s="194">
        <v>0</v>
      </c>
      <c r="M4" s="194">
        <v>0</v>
      </c>
      <c r="N4" s="194"/>
      <c r="O4" s="188">
        <v>1.2999999523162842</v>
      </c>
      <c r="P4" s="188">
        <v>1</v>
      </c>
      <c r="Q4" s="188" t="s">
        <v>736</v>
      </c>
      <c r="R4" s="188" t="s">
        <v>735</v>
      </c>
      <c r="S4" s="188">
        <v>0</v>
      </c>
      <c r="T4" s="188">
        <v>0</v>
      </c>
      <c r="U4" s="188">
        <v>0</v>
      </c>
      <c r="V4" s="188">
        <v>0</v>
      </c>
      <c r="W4" s="188">
        <v>0</v>
      </c>
      <c r="X4" s="188">
        <v>0</v>
      </c>
    </row>
    <row r="5" spans="1:25" x14ac:dyDescent="0.3">
      <c r="A5" s="189" t="s">
        <v>737</v>
      </c>
      <c r="B5" s="190">
        <v>1.2</v>
      </c>
      <c r="C5" s="192">
        <v>4</v>
      </c>
      <c r="D5" s="191" t="s">
        <v>738</v>
      </c>
      <c r="E5" s="191" t="s">
        <v>739</v>
      </c>
      <c r="F5" s="188">
        <v>18</v>
      </c>
      <c r="G5" s="188">
        <v>2.2999999999999998</v>
      </c>
      <c r="H5" s="188">
        <v>1</v>
      </c>
      <c r="I5" s="188">
        <v>2.2999999523162842</v>
      </c>
      <c r="J5" s="188">
        <v>1</v>
      </c>
      <c r="K5" s="193">
        <v>0</v>
      </c>
      <c r="L5" s="194">
        <v>0</v>
      </c>
      <c r="M5" s="194">
        <v>0</v>
      </c>
      <c r="O5" s="188">
        <v>2.2999999523162842</v>
      </c>
      <c r="P5" s="188">
        <v>1</v>
      </c>
      <c r="Q5" s="188" t="s">
        <v>736</v>
      </c>
      <c r="R5" s="188" t="s">
        <v>735</v>
      </c>
      <c r="S5" s="188">
        <v>0</v>
      </c>
      <c r="T5" s="188">
        <v>0</v>
      </c>
      <c r="U5" s="188">
        <v>0</v>
      </c>
      <c r="V5" s="188">
        <v>0</v>
      </c>
      <c r="W5" s="188">
        <v>0</v>
      </c>
      <c r="X5" s="188">
        <v>0</v>
      </c>
    </row>
    <row r="6" spans="1:25" x14ac:dyDescent="0.3">
      <c r="A6" s="189" t="s">
        <v>740</v>
      </c>
      <c r="B6" s="190">
        <v>15</v>
      </c>
      <c r="C6" s="192">
        <v>5.05</v>
      </c>
      <c r="D6" s="191" t="s">
        <v>741</v>
      </c>
      <c r="E6" s="191" t="s">
        <v>739</v>
      </c>
      <c r="F6" s="188">
        <v>18</v>
      </c>
      <c r="G6" s="188">
        <f>G5+1</f>
        <v>3.3</v>
      </c>
      <c r="H6" s="188">
        <v>2</v>
      </c>
      <c r="I6" s="188">
        <v>3.2999999523162842</v>
      </c>
      <c r="J6" s="188">
        <v>2</v>
      </c>
      <c r="K6" s="193">
        <v>0</v>
      </c>
      <c r="L6" s="194">
        <v>0</v>
      </c>
      <c r="M6" s="194">
        <v>0</v>
      </c>
      <c r="O6" s="188">
        <v>3</v>
      </c>
      <c r="P6" s="188">
        <v>1.7000000476837158</v>
      </c>
      <c r="Q6" s="188" t="s">
        <v>736</v>
      </c>
      <c r="R6" s="188" t="s">
        <v>735</v>
      </c>
      <c r="S6" s="188">
        <v>0</v>
      </c>
      <c r="T6" s="188">
        <v>0</v>
      </c>
      <c r="U6" s="188">
        <v>0</v>
      </c>
      <c r="V6" s="188">
        <v>0</v>
      </c>
      <c r="W6" s="188">
        <v>0</v>
      </c>
      <c r="X6" s="188">
        <v>0</v>
      </c>
    </row>
    <row r="7" spans="1:25" x14ac:dyDescent="0.3">
      <c r="A7" s="189"/>
      <c r="C7" s="192">
        <v>6</v>
      </c>
      <c r="D7" s="191" t="s">
        <v>741</v>
      </c>
      <c r="E7" s="191" t="s">
        <v>739</v>
      </c>
      <c r="F7" s="188">
        <v>16</v>
      </c>
      <c r="G7" s="188">
        <f>G6+1</f>
        <v>4.3</v>
      </c>
      <c r="H7" s="188">
        <v>5</v>
      </c>
      <c r="I7" s="188">
        <v>4.3000001907348633</v>
      </c>
      <c r="J7" s="188">
        <v>5</v>
      </c>
      <c r="K7" s="193">
        <v>0</v>
      </c>
      <c r="L7" s="194">
        <v>0</v>
      </c>
      <c r="M7" s="194">
        <v>0</v>
      </c>
      <c r="O7" s="188">
        <v>3.2999999523162842</v>
      </c>
      <c r="P7" s="188">
        <v>2</v>
      </c>
      <c r="Q7" s="188" t="s">
        <v>743</v>
      </c>
      <c r="R7" s="188" t="s">
        <v>739</v>
      </c>
      <c r="S7" s="188">
        <v>0</v>
      </c>
      <c r="T7" s="188">
        <v>0</v>
      </c>
      <c r="U7" s="188">
        <v>0</v>
      </c>
      <c r="V7" s="188">
        <v>0.29999995231628418</v>
      </c>
      <c r="W7" s="188">
        <v>1.8500000238418579</v>
      </c>
      <c r="X7" s="188">
        <v>0.5549999475479126</v>
      </c>
    </row>
    <row r="8" spans="1:25" x14ac:dyDescent="0.3">
      <c r="A8" s="189" t="s">
        <v>744</v>
      </c>
      <c r="B8" s="188">
        <v>13.799999999999999</v>
      </c>
      <c r="C8" s="192">
        <v>13</v>
      </c>
      <c r="D8" s="191" t="s">
        <v>745</v>
      </c>
      <c r="E8" s="191" t="s">
        <v>742</v>
      </c>
      <c r="F8" s="188">
        <v>20</v>
      </c>
      <c r="G8" s="188">
        <f t="shared" ref="G8:G24" si="0">G7+1</f>
        <v>5.3</v>
      </c>
      <c r="H8" s="188">
        <v>1</v>
      </c>
      <c r="I8" s="188">
        <v>5.3000001907348633</v>
      </c>
      <c r="J8" s="188">
        <v>1</v>
      </c>
      <c r="K8" s="193">
        <v>0</v>
      </c>
      <c r="L8" s="194">
        <v>0</v>
      </c>
      <c r="M8" s="194">
        <v>0</v>
      </c>
      <c r="O8" s="188">
        <v>4</v>
      </c>
      <c r="P8" s="188">
        <v>4.0999994277954102</v>
      </c>
      <c r="Q8" s="188" t="s">
        <v>743</v>
      </c>
      <c r="R8" s="188" t="s">
        <v>739</v>
      </c>
      <c r="S8" s="188">
        <v>0</v>
      </c>
      <c r="T8" s="188">
        <v>0</v>
      </c>
      <c r="U8" s="188">
        <v>0</v>
      </c>
      <c r="V8" s="188">
        <v>0.70000004768371582</v>
      </c>
      <c r="W8" s="188">
        <v>3.0499997138977051</v>
      </c>
      <c r="X8" s="188">
        <v>2.1349999904632568</v>
      </c>
    </row>
    <row r="9" spans="1:25" x14ac:dyDescent="0.3">
      <c r="A9" s="189" t="s">
        <v>746</v>
      </c>
      <c r="B9" s="188">
        <v>16.2</v>
      </c>
      <c r="C9" s="192">
        <v>21.3</v>
      </c>
      <c r="D9" s="191" t="s">
        <v>747</v>
      </c>
      <c r="E9" s="191" t="s">
        <v>742</v>
      </c>
      <c r="F9" s="188">
        <v>20</v>
      </c>
      <c r="G9" s="188">
        <f t="shared" si="0"/>
        <v>6.3</v>
      </c>
      <c r="H9" s="188">
        <v>3</v>
      </c>
      <c r="I9" s="188">
        <v>6.3000001907348633</v>
      </c>
      <c r="J9" s="188">
        <v>3</v>
      </c>
      <c r="K9" s="193">
        <v>0</v>
      </c>
      <c r="L9" s="194">
        <v>0</v>
      </c>
      <c r="M9" s="194">
        <v>0</v>
      </c>
      <c r="O9" s="188">
        <v>4.3000001907348633</v>
      </c>
      <c r="P9" s="188">
        <v>5</v>
      </c>
      <c r="Q9" s="188" t="s">
        <v>748</v>
      </c>
      <c r="R9" s="188" t="s">
        <v>742</v>
      </c>
      <c r="S9" s="188">
        <v>0.30000019073486328</v>
      </c>
      <c r="T9" s="188">
        <v>4.5499997138977051</v>
      </c>
      <c r="U9" s="188">
        <v>1.3650007247924805</v>
      </c>
      <c r="V9" s="188">
        <v>0</v>
      </c>
      <c r="W9" s="188">
        <v>0</v>
      </c>
      <c r="X9" s="188">
        <v>0</v>
      </c>
    </row>
    <row r="10" spans="1:25" x14ac:dyDescent="0.3">
      <c r="A10" s="189" t="s">
        <v>749</v>
      </c>
      <c r="B10" s="188">
        <v>16.8</v>
      </c>
      <c r="G10" s="188">
        <f t="shared" si="0"/>
        <v>7.3</v>
      </c>
      <c r="H10" s="188">
        <v>4</v>
      </c>
      <c r="I10" s="188">
        <v>7.3000001907348633</v>
      </c>
      <c r="J10" s="188">
        <v>4</v>
      </c>
      <c r="K10" s="193">
        <v>0</v>
      </c>
      <c r="L10" s="194">
        <v>0</v>
      </c>
      <c r="M10" s="194">
        <v>0</v>
      </c>
      <c r="O10" s="188">
        <v>5.0500001907348633</v>
      </c>
      <c r="P10" s="188">
        <v>2</v>
      </c>
      <c r="Q10" s="188" t="s">
        <v>748</v>
      </c>
      <c r="R10" s="188" t="s">
        <v>742</v>
      </c>
      <c r="S10" s="188">
        <v>0.75</v>
      </c>
      <c r="T10" s="188">
        <v>3.5</v>
      </c>
      <c r="U10" s="188">
        <v>2.625</v>
      </c>
      <c r="V10" s="188">
        <v>0</v>
      </c>
      <c r="W10" s="188">
        <v>0</v>
      </c>
      <c r="X10" s="188">
        <v>0</v>
      </c>
    </row>
    <row r="11" spans="1:25" x14ac:dyDescent="0.3">
      <c r="G11" s="188">
        <f t="shared" si="0"/>
        <v>8.3000000000000007</v>
      </c>
      <c r="H11" s="188">
        <v>11</v>
      </c>
      <c r="I11" s="188">
        <v>8.3000001907348633</v>
      </c>
      <c r="J11" s="188">
        <v>11</v>
      </c>
      <c r="K11" s="193">
        <v>0</v>
      </c>
      <c r="L11" s="194">
        <v>0</v>
      </c>
      <c r="M11" s="194">
        <v>0</v>
      </c>
      <c r="O11" s="188">
        <v>5.3000001907348633</v>
      </c>
      <c r="P11" s="188">
        <v>1</v>
      </c>
      <c r="Q11" s="188" t="s">
        <v>748</v>
      </c>
      <c r="R11" s="188" t="s">
        <v>739</v>
      </c>
      <c r="S11" s="188">
        <v>0</v>
      </c>
      <c r="T11" s="188">
        <v>0</v>
      </c>
      <c r="U11" s="188">
        <v>0</v>
      </c>
      <c r="V11" s="188">
        <v>0.25</v>
      </c>
      <c r="W11" s="188">
        <v>1.5</v>
      </c>
      <c r="X11" s="188">
        <v>0.375</v>
      </c>
    </row>
    <row r="12" spans="1:25" x14ac:dyDescent="0.3">
      <c r="A12" s="189" t="s">
        <v>750</v>
      </c>
      <c r="B12" s="188">
        <v>200</v>
      </c>
      <c r="G12" s="188">
        <f t="shared" si="0"/>
        <v>9.3000000000000007</v>
      </c>
      <c r="H12" s="188">
        <v>15</v>
      </c>
      <c r="I12" s="188">
        <v>9.3000001907348633</v>
      </c>
      <c r="J12" s="188">
        <v>15</v>
      </c>
      <c r="K12" s="193">
        <v>0</v>
      </c>
      <c r="L12" s="194">
        <v>0</v>
      </c>
      <c r="M12" s="194">
        <v>0</v>
      </c>
      <c r="O12" s="188">
        <v>6</v>
      </c>
      <c r="P12" s="188">
        <v>2.3999996185302734</v>
      </c>
      <c r="Q12" s="188" t="s">
        <v>748</v>
      </c>
      <c r="R12" s="188" t="s">
        <v>739</v>
      </c>
      <c r="S12" s="188">
        <v>0</v>
      </c>
      <c r="T12" s="188">
        <v>0</v>
      </c>
      <c r="U12" s="188">
        <v>0</v>
      </c>
      <c r="V12" s="188">
        <v>0.69999980926513672</v>
      </c>
      <c r="W12" s="188">
        <v>1.6999998092651367</v>
      </c>
      <c r="X12" s="188">
        <v>1.1899995803833008</v>
      </c>
    </row>
    <row r="13" spans="1:25" x14ac:dyDescent="0.3">
      <c r="A13" s="195" t="s">
        <v>751</v>
      </c>
      <c r="B13" s="188">
        <v>21.25</v>
      </c>
      <c r="G13" s="188">
        <f t="shared" si="0"/>
        <v>10.3</v>
      </c>
      <c r="H13" s="188">
        <v>16</v>
      </c>
      <c r="I13" s="188">
        <v>10.300000190734863</v>
      </c>
      <c r="J13" s="188">
        <v>16</v>
      </c>
      <c r="K13" s="193">
        <v>0</v>
      </c>
      <c r="L13" s="194">
        <v>0</v>
      </c>
      <c r="M13" s="194">
        <v>0</v>
      </c>
      <c r="O13" s="188">
        <v>6.3000001907348633</v>
      </c>
      <c r="P13" s="188">
        <v>3</v>
      </c>
      <c r="Q13" s="188" t="s">
        <v>752</v>
      </c>
      <c r="R13" s="188" t="s">
        <v>742</v>
      </c>
      <c r="S13" s="188">
        <v>0.30000019073486328</v>
      </c>
      <c r="T13" s="188">
        <v>2.6999998092651367</v>
      </c>
      <c r="U13" s="188">
        <v>0.81000047922134399</v>
      </c>
      <c r="V13" s="188">
        <v>0</v>
      </c>
      <c r="W13" s="188">
        <v>0</v>
      </c>
      <c r="X13" s="188">
        <v>0</v>
      </c>
    </row>
    <row r="14" spans="1:25" x14ac:dyDescent="0.3">
      <c r="A14" s="189" t="s">
        <v>753</v>
      </c>
      <c r="B14" s="188">
        <f>B12/3*B13</f>
        <v>1416.6666666666667</v>
      </c>
      <c r="G14" s="188">
        <f>1+G13</f>
        <v>11.3</v>
      </c>
      <c r="H14" s="188">
        <v>13</v>
      </c>
      <c r="I14" s="188">
        <v>11.300000190734863</v>
      </c>
      <c r="J14" s="188">
        <v>13</v>
      </c>
      <c r="K14" s="193">
        <v>0</v>
      </c>
      <c r="L14" s="194">
        <v>0</v>
      </c>
      <c r="M14" s="194">
        <v>0</v>
      </c>
      <c r="O14" s="188">
        <v>7.3000001907348633</v>
      </c>
      <c r="P14" s="188">
        <v>4</v>
      </c>
      <c r="Q14" s="188" t="s">
        <v>752</v>
      </c>
      <c r="R14" s="188" t="s">
        <v>742</v>
      </c>
      <c r="S14" s="188">
        <v>1</v>
      </c>
      <c r="T14" s="188">
        <v>3.5</v>
      </c>
      <c r="U14" s="188">
        <v>3.5</v>
      </c>
      <c r="V14" s="188">
        <v>0</v>
      </c>
      <c r="W14" s="188">
        <v>0</v>
      </c>
      <c r="X14" s="188">
        <v>0</v>
      </c>
    </row>
    <row r="15" spans="1:25" x14ac:dyDescent="0.3">
      <c r="A15" s="189" t="s">
        <v>754</v>
      </c>
      <c r="B15" s="188">
        <f>(B4/1000)^2*PI()/4</f>
        <v>0.28274333882308139</v>
      </c>
      <c r="G15" s="188">
        <f t="shared" si="0"/>
        <v>12.3</v>
      </c>
      <c r="H15" s="188">
        <v>12</v>
      </c>
      <c r="I15" s="188">
        <v>12.300000190734863</v>
      </c>
      <c r="J15" s="188">
        <v>12</v>
      </c>
      <c r="K15" s="193">
        <v>0</v>
      </c>
      <c r="L15" s="194">
        <v>0</v>
      </c>
      <c r="M15" s="194">
        <v>0</v>
      </c>
      <c r="O15" s="188">
        <v>8.3000001907348633</v>
      </c>
      <c r="P15" s="188">
        <v>11</v>
      </c>
      <c r="Q15" s="188" t="s">
        <v>752</v>
      </c>
      <c r="R15" s="188" t="s">
        <v>742</v>
      </c>
      <c r="S15" s="188">
        <v>1</v>
      </c>
      <c r="T15" s="188">
        <v>7.5</v>
      </c>
      <c r="U15" s="188">
        <v>7.5</v>
      </c>
      <c r="V15" s="188">
        <v>0</v>
      </c>
      <c r="W15" s="188">
        <v>0</v>
      </c>
      <c r="X15" s="188">
        <v>0</v>
      </c>
    </row>
    <row r="16" spans="1:25" x14ac:dyDescent="0.3">
      <c r="A16" s="189" t="s">
        <v>755</v>
      </c>
      <c r="B16" s="188">
        <f>B14*B15</f>
        <v>400.55306333269868</v>
      </c>
      <c r="G16" s="188">
        <f t="shared" si="0"/>
        <v>13.3</v>
      </c>
      <c r="H16" s="188">
        <v>20</v>
      </c>
      <c r="I16" s="188">
        <v>13.300000190734863</v>
      </c>
      <c r="J16" s="188">
        <v>20</v>
      </c>
      <c r="K16" s="193">
        <v>0</v>
      </c>
      <c r="L16" s="194">
        <v>0</v>
      </c>
      <c r="M16" s="194">
        <v>0</v>
      </c>
      <c r="O16" s="188">
        <v>9.3000001907348633</v>
      </c>
      <c r="P16" s="188">
        <v>15</v>
      </c>
      <c r="Q16" s="188" t="s">
        <v>752</v>
      </c>
      <c r="R16" s="188" t="s">
        <v>742</v>
      </c>
      <c r="S16" s="188">
        <v>1</v>
      </c>
      <c r="T16" s="188">
        <v>13</v>
      </c>
      <c r="U16" s="188">
        <v>13</v>
      </c>
      <c r="V16" s="188">
        <v>0</v>
      </c>
      <c r="W16" s="188">
        <v>0</v>
      </c>
      <c r="X16" s="188">
        <v>0</v>
      </c>
    </row>
    <row r="17" spans="1:24" x14ac:dyDescent="0.3">
      <c r="A17" s="189"/>
      <c r="G17" s="188">
        <f t="shared" si="0"/>
        <v>14.3</v>
      </c>
      <c r="H17" s="188">
        <v>18</v>
      </c>
      <c r="I17" s="188">
        <v>13.800000190734863</v>
      </c>
      <c r="J17" s="188">
        <v>19</v>
      </c>
      <c r="K17" s="193">
        <v>0</v>
      </c>
      <c r="L17" s="194">
        <v>0</v>
      </c>
      <c r="M17" s="194">
        <v>0</v>
      </c>
      <c r="O17" s="188">
        <v>10.300000190734863</v>
      </c>
      <c r="P17" s="188">
        <v>16</v>
      </c>
      <c r="Q17" s="188" t="s">
        <v>752</v>
      </c>
      <c r="R17" s="188" t="s">
        <v>742</v>
      </c>
      <c r="S17" s="188">
        <v>1</v>
      </c>
      <c r="T17" s="188">
        <v>15.5</v>
      </c>
      <c r="U17" s="188">
        <v>15.5</v>
      </c>
      <c r="V17" s="188">
        <v>0</v>
      </c>
      <c r="W17" s="188">
        <v>0</v>
      </c>
      <c r="X17" s="188">
        <v>0</v>
      </c>
    </row>
    <row r="18" spans="1:24" x14ac:dyDescent="0.3">
      <c r="A18" s="189" t="s">
        <v>756</v>
      </c>
      <c r="B18" s="188">
        <v>13.058667182922363</v>
      </c>
      <c r="G18" s="188">
        <f t="shared" si="0"/>
        <v>15.3</v>
      </c>
      <c r="H18" s="188">
        <v>22</v>
      </c>
      <c r="I18" s="188">
        <v>14.300000190734863</v>
      </c>
      <c r="J18" s="188">
        <v>18</v>
      </c>
      <c r="K18" s="193">
        <v>0.5</v>
      </c>
      <c r="L18" s="194">
        <v>18.5</v>
      </c>
      <c r="M18" s="194">
        <v>9.25</v>
      </c>
      <c r="O18" s="188">
        <v>11.300000190734863</v>
      </c>
      <c r="P18" s="188">
        <v>13</v>
      </c>
      <c r="Q18" s="188" t="s">
        <v>752</v>
      </c>
      <c r="R18" s="188" t="s">
        <v>742</v>
      </c>
      <c r="S18" s="188">
        <v>1</v>
      </c>
      <c r="T18" s="188">
        <v>14.5</v>
      </c>
      <c r="U18" s="188">
        <v>14.5</v>
      </c>
      <c r="V18" s="188">
        <v>0</v>
      </c>
      <c r="W18" s="188">
        <v>0</v>
      </c>
      <c r="X18" s="188">
        <v>0</v>
      </c>
    </row>
    <row r="19" spans="1:24" x14ac:dyDescent="0.3">
      <c r="A19" s="189" t="s">
        <v>757</v>
      </c>
      <c r="B19" s="188">
        <v>11.250000953674316</v>
      </c>
      <c r="G19" s="188">
        <f t="shared" si="0"/>
        <v>16.3</v>
      </c>
      <c r="H19" s="188">
        <v>24</v>
      </c>
      <c r="I19" s="188">
        <v>15.300000190734863</v>
      </c>
      <c r="J19" s="188">
        <v>22</v>
      </c>
      <c r="K19" s="193">
        <v>1</v>
      </c>
      <c r="L19" s="194">
        <v>20</v>
      </c>
      <c r="M19" s="194">
        <v>20</v>
      </c>
      <c r="O19" s="188">
        <v>12.300000190734863</v>
      </c>
      <c r="P19" s="188">
        <v>12</v>
      </c>
      <c r="Q19" s="188" t="s">
        <v>752</v>
      </c>
      <c r="R19" s="188" t="s">
        <v>742</v>
      </c>
      <c r="S19" s="188">
        <v>1</v>
      </c>
      <c r="T19" s="188">
        <v>12.5</v>
      </c>
      <c r="U19" s="188">
        <v>12.5</v>
      </c>
      <c r="V19" s="188">
        <v>0</v>
      </c>
      <c r="W19" s="188">
        <v>0</v>
      </c>
      <c r="X19" s="188">
        <v>0</v>
      </c>
    </row>
    <row r="20" spans="1:24" x14ac:dyDescent="0.3">
      <c r="A20" s="189" t="s">
        <v>758</v>
      </c>
      <c r="B20" s="188">
        <v>489.70006087197362</v>
      </c>
      <c r="G20" s="188">
        <f t="shared" si="0"/>
        <v>17.3</v>
      </c>
      <c r="H20" s="188">
        <v>20</v>
      </c>
      <c r="I20" s="188">
        <v>16.200000762939453</v>
      </c>
      <c r="J20" s="188">
        <v>23.800003051757813</v>
      </c>
      <c r="K20" s="193">
        <v>0.90000057220458984</v>
      </c>
      <c r="L20" s="194">
        <v>22.900001525878906</v>
      </c>
      <c r="M20" s="194">
        <v>20.610013961791992</v>
      </c>
      <c r="O20" s="188">
        <v>13</v>
      </c>
      <c r="P20" s="188">
        <v>17.599998474121094</v>
      </c>
      <c r="Q20" s="188" t="s">
        <v>752</v>
      </c>
      <c r="R20" s="188" t="s">
        <v>742</v>
      </c>
      <c r="S20" s="188">
        <v>0.69999980926513672</v>
      </c>
      <c r="T20" s="188">
        <v>14.799999237060547</v>
      </c>
      <c r="U20" s="188">
        <v>10.359996795654297</v>
      </c>
      <c r="V20" s="188">
        <v>0</v>
      </c>
      <c r="W20" s="188">
        <v>0</v>
      </c>
      <c r="X20" s="188">
        <v>0</v>
      </c>
    </row>
    <row r="21" spans="1:24" x14ac:dyDescent="0.3">
      <c r="G21" s="188">
        <f t="shared" si="0"/>
        <v>18.3</v>
      </c>
      <c r="H21" s="188">
        <v>25</v>
      </c>
      <c r="I21" s="188">
        <v>16.299999237060547</v>
      </c>
      <c r="J21" s="188">
        <v>24</v>
      </c>
      <c r="K21" s="193">
        <v>9.999847412109375E-2</v>
      </c>
      <c r="L21" s="194">
        <v>23.900001525878906</v>
      </c>
      <c r="M21" s="194">
        <v>2.3899636268615723</v>
      </c>
      <c r="O21" s="188">
        <v>13.300000190734863</v>
      </c>
      <c r="P21" s="188">
        <v>20</v>
      </c>
      <c r="Q21" s="188" t="s">
        <v>759</v>
      </c>
      <c r="R21" s="188" t="s">
        <v>742</v>
      </c>
      <c r="S21" s="188">
        <v>0.30000019073486328</v>
      </c>
      <c r="T21" s="188">
        <v>18.799999237060547</v>
      </c>
      <c r="U21" s="188">
        <v>5.6400032043457031</v>
      </c>
      <c r="V21" s="188">
        <v>0</v>
      </c>
      <c r="W21" s="188">
        <v>0</v>
      </c>
      <c r="X21" s="188">
        <v>0</v>
      </c>
    </row>
    <row r="22" spans="1:24" x14ac:dyDescent="0.3">
      <c r="A22" s="189" t="s">
        <v>760</v>
      </c>
      <c r="B22" s="188">
        <v>27.275642395019531</v>
      </c>
      <c r="G22" s="188">
        <f t="shared" si="0"/>
        <v>19.3</v>
      </c>
      <c r="H22" s="188">
        <v>25</v>
      </c>
      <c r="I22" s="188">
        <v>16.799999237060547</v>
      </c>
      <c r="J22" s="188">
        <v>22</v>
      </c>
      <c r="K22" s="193">
        <v>0.5</v>
      </c>
      <c r="L22" s="194">
        <v>23</v>
      </c>
      <c r="M22" s="194">
        <v>11.5</v>
      </c>
      <c r="O22" s="188">
        <v>14.300000190734863</v>
      </c>
      <c r="P22" s="188">
        <v>18</v>
      </c>
      <c r="Q22" s="188" t="s">
        <v>759</v>
      </c>
      <c r="R22" s="188" t="s">
        <v>742</v>
      </c>
      <c r="S22" s="188">
        <v>1</v>
      </c>
      <c r="T22" s="188">
        <v>19</v>
      </c>
      <c r="U22" s="188">
        <v>19</v>
      </c>
      <c r="V22" s="188">
        <v>0</v>
      </c>
      <c r="W22" s="188">
        <v>0</v>
      </c>
      <c r="X22" s="188">
        <v>0</v>
      </c>
    </row>
    <row r="23" spans="1:24" x14ac:dyDescent="0.3">
      <c r="A23" s="189" t="s">
        <v>761</v>
      </c>
      <c r="B23" s="188">
        <v>1.9499998092651367</v>
      </c>
      <c r="G23" s="188">
        <f t="shared" si="0"/>
        <v>20.3</v>
      </c>
      <c r="H23" s="188">
        <v>50</v>
      </c>
      <c r="I23" s="188">
        <v>17.299999237060547</v>
      </c>
      <c r="J23" s="188">
        <v>20</v>
      </c>
      <c r="K23" s="193">
        <v>0</v>
      </c>
      <c r="L23" s="194">
        <v>0</v>
      </c>
      <c r="M23" s="194">
        <v>0</v>
      </c>
      <c r="O23" s="188">
        <v>15.300000190734863</v>
      </c>
      <c r="P23" s="188">
        <v>22</v>
      </c>
      <c r="Q23" s="188" t="s">
        <v>759</v>
      </c>
      <c r="R23" s="188" t="s">
        <v>742</v>
      </c>
      <c r="S23" s="188">
        <v>1</v>
      </c>
      <c r="T23" s="188">
        <v>20</v>
      </c>
      <c r="U23" s="188">
        <v>20</v>
      </c>
      <c r="V23" s="188">
        <v>0</v>
      </c>
      <c r="W23" s="188">
        <v>0</v>
      </c>
      <c r="X23" s="188">
        <v>0</v>
      </c>
    </row>
    <row r="24" spans="1:24" x14ac:dyDescent="0.3">
      <c r="A24" s="189" t="s">
        <v>762</v>
      </c>
      <c r="B24" s="188">
        <v>26.593748733936081</v>
      </c>
      <c r="G24" s="188">
        <f t="shared" si="0"/>
        <v>21.3</v>
      </c>
      <c r="H24" s="188">
        <v>50</v>
      </c>
      <c r="I24" s="188">
        <v>18.299999237060547</v>
      </c>
      <c r="J24" s="188">
        <v>25</v>
      </c>
      <c r="K24" s="193">
        <v>0</v>
      </c>
      <c r="L24" s="194">
        <v>0</v>
      </c>
      <c r="M24" s="194">
        <v>0</v>
      </c>
      <c r="O24" s="188">
        <v>16.200000762939453</v>
      </c>
      <c r="P24" s="188">
        <v>23.800003051757813</v>
      </c>
      <c r="Q24" s="188" t="s">
        <v>759</v>
      </c>
      <c r="R24" s="188" t="s">
        <v>742</v>
      </c>
      <c r="S24" s="188">
        <v>0.90000057220458984</v>
      </c>
      <c r="T24" s="188">
        <v>22.900001525878906</v>
      </c>
      <c r="U24" s="188">
        <v>20.610013961791992</v>
      </c>
      <c r="V24" s="188">
        <v>0</v>
      </c>
      <c r="W24" s="188">
        <v>0</v>
      </c>
      <c r="X24" s="188">
        <v>0</v>
      </c>
    </row>
    <row r="25" spans="1:24" x14ac:dyDescent="0.3">
      <c r="I25" s="188">
        <v>19.299999237060547</v>
      </c>
      <c r="J25" s="188">
        <v>25</v>
      </c>
      <c r="K25" s="193">
        <v>0</v>
      </c>
      <c r="L25" s="194">
        <v>0</v>
      </c>
      <c r="M25" s="194">
        <v>0</v>
      </c>
      <c r="O25" s="188">
        <v>16.299999237060547</v>
      </c>
      <c r="P25" s="188">
        <v>24</v>
      </c>
      <c r="S25" s="188">
        <v>11.250000953674316</v>
      </c>
      <c r="U25" s="188">
        <v>146.91001892089844</v>
      </c>
      <c r="V25" s="188">
        <v>1.9499998092651367</v>
      </c>
      <c r="X25" s="188">
        <v>4.2549996376037598</v>
      </c>
    </row>
    <row r="26" spans="1:24" x14ac:dyDescent="0.3">
      <c r="A26" s="189" t="s">
        <v>763</v>
      </c>
      <c r="B26" s="188">
        <f>+B24+B20</f>
        <v>516.2938096059097</v>
      </c>
      <c r="I26" s="188">
        <v>20.299999237060547</v>
      </c>
      <c r="J26" s="188">
        <v>50</v>
      </c>
      <c r="K26" s="193">
        <v>0</v>
      </c>
      <c r="L26" s="194">
        <v>0</v>
      </c>
      <c r="M26" s="194">
        <v>0</v>
      </c>
      <c r="N26" s="189"/>
      <c r="O26" s="188">
        <v>17.299999237060547</v>
      </c>
      <c r="P26" s="188">
        <v>20</v>
      </c>
      <c r="Q26" s="189"/>
      <c r="T26" s="189"/>
      <c r="U26" s="188">
        <v>13.058667182922363</v>
      </c>
      <c r="X26" s="188">
        <v>2.182051420211792</v>
      </c>
    </row>
    <row r="27" spans="1:24" x14ac:dyDescent="0.3">
      <c r="B27" s="188">
        <f>B4/1000*PI()</f>
        <v>1.8849555921538759</v>
      </c>
      <c r="I27" s="188">
        <v>21.299999237060547</v>
      </c>
      <c r="J27" s="188">
        <v>50</v>
      </c>
      <c r="K27" s="193">
        <v>0</v>
      </c>
      <c r="L27" s="194">
        <v>0</v>
      </c>
      <c r="M27" s="194">
        <v>0</v>
      </c>
      <c r="N27" s="189"/>
      <c r="O27" s="188">
        <v>18.299999237060547</v>
      </c>
      <c r="P27" s="188">
        <v>25</v>
      </c>
      <c r="Q27" s="189"/>
      <c r="S27" s="188" t="s">
        <v>764</v>
      </c>
      <c r="T27" s="189"/>
      <c r="U27" s="188">
        <v>489.7000732421875</v>
      </c>
      <c r="V27" s="188" t="s">
        <v>765</v>
      </c>
      <c r="X27" s="188">
        <v>27.275642395019531</v>
      </c>
    </row>
    <row r="28" spans="1:24" x14ac:dyDescent="0.3">
      <c r="A28" s="189" t="s">
        <v>766</v>
      </c>
      <c r="B28" s="188">
        <f>1/3*B26*B27</f>
        <v>324.39696787036263</v>
      </c>
      <c r="K28" s="193"/>
      <c r="L28" s="194"/>
      <c r="M28" s="194"/>
      <c r="O28" s="188">
        <v>19.299999237060547</v>
      </c>
      <c r="P28" s="188">
        <v>25</v>
      </c>
      <c r="V28" s="188" t="s">
        <v>767</v>
      </c>
      <c r="X28" s="188">
        <v>13.637821197509766</v>
      </c>
    </row>
    <row r="29" spans="1:24" x14ac:dyDescent="0.3">
      <c r="K29" s="193">
        <v>2.9999990463256836</v>
      </c>
      <c r="L29" s="194"/>
      <c r="M29" s="194">
        <v>63.749980926513672</v>
      </c>
      <c r="O29" s="188">
        <v>20.299999237060547</v>
      </c>
      <c r="P29" s="188">
        <v>50</v>
      </c>
    </row>
    <row r="30" spans="1:24" x14ac:dyDescent="0.3">
      <c r="A30" s="189" t="s">
        <v>768</v>
      </c>
      <c r="B30" s="188">
        <f>B28+B16</f>
        <v>724.95003120306137</v>
      </c>
    </row>
  </sheetData>
  <phoneticPr fontId="2"/>
  <pageMargins left="0.7" right="0.7" top="0.75" bottom="0.75" header="0.3" footer="0.3"/>
  <pageSetup paperSize="9" orientation="portrait" r:id="rId1"/>
  <headerFooter>
    <oddFooter>&amp;C&amp;1#&amp;"Calibri"&amp;10&amp;K000000Confidential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G105"/>
  <sheetViews>
    <sheetView workbookViewId="0">
      <selection activeCell="K24" sqref="K24"/>
    </sheetView>
  </sheetViews>
  <sheetFormatPr defaultColWidth="7.1015625" defaultRowHeight="11.7" x14ac:dyDescent="0.3"/>
  <cols>
    <col min="1" max="16384" width="7.1015625" style="2"/>
  </cols>
  <sheetData>
    <row r="1" spans="1:33" x14ac:dyDescent="0.3">
      <c r="A1" s="2" t="s">
        <v>213</v>
      </c>
    </row>
    <row r="3" spans="1:33" x14ac:dyDescent="0.3">
      <c r="A3" s="2" t="s">
        <v>214</v>
      </c>
    </row>
    <row r="4" spans="1:33" x14ac:dyDescent="0.3">
      <c r="A4" s="2" t="s">
        <v>215</v>
      </c>
    </row>
    <row r="5" spans="1:33" x14ac:dyDescent="0.3">
      <c r="A5" s="3" t="s">
        <v>216</v>
      </c>
      <c r="B5" s="3" t="s">
        <v>4</v>
      </c>
      <c r="C5" s="3" t="s">
        <v>3</v>
      </c>
      <c r="D5" s="3" t="s">
        <v>5</v>
      </c>
      <c r="E5" s="3" t="s">
        <v>6</v>
      </c>
      <c r="F5" s="3" t="s">
        <v>7</v>
      </c>
      <c r="G5" s="3" t="s">
        <v>1</v>
      </c>
      <c r="H5" s="3" t="s">
        <v>0</v>
      </c>
      <c r="I5" s="3" t="s">
        <v>58</v>
      </c>
      <c r="J5" s="3" t="s">
        <v>59</v>
      </c>
      <c r="K5" s="3" t="s">
        <v>60</v>
      </c>
      <c r="L5" s="3" t="s">
        <v>61</v>
      </c>
      <c r="M5" s="3" t="s">
        <v>62</v>
      </c>
      <c r="N5" s="3" t="s">
        <v>63</v>
      </c>
    </row>
    <row r="6" spans="1:33" x14ac:dyDescent="0.3">
      <c r="A6" s="16" t="s">
        <v>625</v>
      </c>
      <c r="B6" s="17">
        <v>32</v>
      </c>
      <c r="C6" s="3" t="e">
        <f ca="1">[1]!Pile(A6, 1)</f>
        <v>#NAME?</v>
      </c>
      <c r="D6" s="3" t="e">
        <f ca="1">[1]!Pile(A6, 12)*100</f>
        <v>#NAME?</v>
      </c>
      <c r="E6" s="3" t="e">
        <f ca="1">[1]!Pile(A6, 22)*10*10*10*10</f>
        <v>#NAME?</v>
      </c>
      <c r="F6" s="91" t="e">
        <f ca="1">[1]!Pile(A6, 25)*10*10*10</f>
        <v>#NAME?</v>
      </c>
      <c r="G6" s="19" t="e">
        <f ca="1">[1]!PilePcFx(A6,2,1)*9.80665/100</f>
        <v>#NAME?</v>
      </c>
      <c r="H6" s="20" t="e">
        <f ca="1">1-(IF(0&gt;+B6*1000/C6-$E$19,0,(B6*1000/C6-$E$19)/100))</f>
        <v>#NAME?</v>
      </c>
      <c r="I6" s="19" t="e">
        <f ca="1">[1]!PilePcFx(A6, 3,1)*9.80665/100</f>
        <v>#NAME?</v>
      </c>
      <c r="J6" s="19" t="e">
        <f ca="1">[1]!PilePcFx(A6, 3, 2)*9.80665/100</f>
        <v>#NAME?</v>
      </c>
      <c r="K6" s="19" t="e">
        <f ca="1">(I6-G6)*D6*H6/1000</f>
        <v>#NAME?</v>
      </c>
      <c r="L6" s="19" t="e">
        <f ca="1">(J6-G6)*D6*H6/1000</f>
        <v>#NAME?</v>
      </c>
      <c r="M6" s="34" t="e">
        <f ca="1">[1]!PilePcFx(A6, 4, 1)*9.80665/100</f>
        <v>#NAME?</v>
      </c>
      <c r="N6" s="34" t="e">
        <f ca="1">[1]!PilePcFx(A6, 4, 2)*9.80665/100</f>
        <v>#NAME?</v>
      </c>
    </row>
    <row r="7" spans="1:33" x14ac:dyDescent="0.3">
      <c r="A7" s="16" t="s">
        <v>626</v>
      </c>
      <c r="B7" s="17">
        <v>9</v>
      </c>
      <c r="C7" s="3" t="e">
        <f ca="1">[1]!Pile(A7, 1)</f>
        <v>#NAME?</v>
      </c>
      <c r="D7" s="3" t="e">
        <f ca="1">[1]!Pile(A7, 12)*100</f>
        <v>#NAME?</v>
      </c>
      <c r="E7" s="3" t="e">
        <f ca="1">[1]!Pile(A7, 22)*10*10*10*10</f>
        <v>#NAME?</v>
      </c>
      <c r="F7" s="91" t="e">
        <f ca="1">[1]!Pile(A7, 25)*10*10*10</f>
        <v>#NAME?</v>
      </c>
      <c r="G7" s="19" t="e">
        <f ca="1">[1]!PilePcFx(A7,2,1)*9.80665/100</f>
        <v>#NAME?</v>
      </c>
      <c r="H7" s="20" t="e">
        <f ca="1">1-(IF(0&gt;+B7*1000/C7-$E$19,0,(B7*1000/C7-$E$19)/100))</f>
        <v>#NAME?</v>
      </c>
      <c r="I7" s="19" t="e">
        <f ca="1">[1]!PilePcFx(A7, 3,1)*9.80665/100</f>
        <v>#NAME?</v>
      </c>
      <c r="J7" s="19" t="e">
        <f ca="1">[1]!PilePcFx(A7, 3, 2)*9.80665/100</f>
        <v>#NAME?</v>
      </c>
      <c r="K7" s="19" t="e">
        <f ca="1">(I7-G7)*D7*H7/1000</f>
        <v>#NAME?</v>
      </c>
      <c r="L7" s="19" t="e">
        <f ca="1">(J7-G7)*D7*H7/1000</f>
        <v>#NAME?</v>
      </c>
      <c r="M7" s="34" t="e">
        <f ca="1">[1]!PilePcFx(A7, 4, 1)*9.80665/100</f>
        <v>#NAME?</v>
      </c>
      <c r="N7" s="34" t="e">
        <f ca="1">[1]!PilePcFx(A7, 4, 2)*9.80665/100</f>
        <v>#NAME?</v>
      </c>
    </row>
    <row r="8" spans="1:33" x14ac:dyDescent="0.3">
      <c r="A8" s="16" t="s">
        <v>627</v>
      </c>
      <c r="B8" s="17">
        <v>9</v>
      </c>
      <c r="C8" s="3" t="e">
        <f ca="1">[1]!Pile(A8, 1)</f>
        <v>#NAME?</v>
      </c>
      <c r="D8" s="3" t="e">
        <f ca="1">[1]!Pile(A8, 12)*100</f>
        <v>#NAME?</v>
      </c>
      <c r="E8" s="3" t="e">
        <f ca="1">[1]!Pile(A8, 22)*10*10*10*10</f>
        <v>#NAME?</v>
      </c>
      <c r="F8" s="91" t="e">
        <f ca="1">[1]!Pile(A8, 25)*10*10*10</f>
        <v>#NAME?</v>
      </c>
      <c r="G8" s="19" t="e">
        <f ca="1">[1]!PilePcFx(A8,2,1)*9.80665/100</f>
        <v>#NAME?</v>
      </c>
      <c r="H8" s="20" t="e">
        <f ca="1">1-(IF(0&gt;+B8*1000/C8-$E$19,0,(B8*1000/C8-$E$19)/100))</f>
        <v>#NAME?</v>
      </c>
      <c r="I8" s="19" t="e">
        <f ca="1">[1]!PilePcFx(A8, 3,1)*9.80665/100</f>
        <v>#NAME?</v>
      </c>
      <c r="J8" s="19" t="e">
        <f ca="1">[1]!PilePcFx(A8, 3, 2)*9.80665/100</f>
        <v>#NAME?</v>
      </c>
      <c r="K8" s="19" t="e">
        <f ca="1">(I8-G8)*D8*H8/1000</f>
        <v>#NAME?</v>
      </c>
      <c r="L8" s="19" t="e">
        <f ca="1">(J8-G8)*D8*H8/1000</f>
        <v>#NAME?</v>
      </c>
      <c r="M8" s="34" t="e">
        <f ca="1">[1]!PilePcFx(A8, 4, 1)*9.80665/100</f>
        <v>#NAME?</v>
      </c>
      <c r="N8" s="34" t="e">
        <f ca="1">[1]!PilePcFx(A8, 4, 2)*9.80665/100</f>
        <v>#NAME?</v>
      </c>
      <c r="O8" s="4"/>
    </row>
    <row r="9" spans="1:33" x14ac:dyDescent="0.3">
      <c r="A9" s="16" t="s">
        <v>629</v>
      </c>
      <c r="B9" s="17">
        <v>9</v>
      </c>
      <c r="C9" s="3" t="e">
        <f ca="1">[1]!Pile(A9, 1)</f>
        <v>#NAME?</v>
      </c>
      <c r="D9" s="3" t="e">
        <f ca="1">[1]!Pile(A9, 12)*100</f>
        <v>#NAME?</v>
      </c>
      <c r="E9" s="3" t="e">
        <f ca="1">[1]!Pile(A9, 22)*10*10*10*10</f>
        <v>#NAME?</v>
      </c>
      <c r="F9" s="91" t="e">
        <f ca="1">[1]!Pile(A9, 25)*10*10*10</f>
        <v>#NAME?</v>
      </c>
      <c r="G9" s="19" t="e">
        <f ca="1">[1]!PilePcFx(A9,2,1)*9.80665/100</f>
        <v>#NAME?</v>
      </c>
      <c r="H9" s="20" t="e">
        <f ca="1">1-(IF(0&gt;+B9*1000/C9-$E$19,0,(B9*1000/C9-$E$19)/100))</f>
        <v>#NAME?</v>
      </c>
      <c r="I9" s="19" t="e">
        <f ca="1">[1]!PilePcFx(A9, 3,1)*9.80665/100</f>
        <v>#NAME?</v>
      </c>
      <c r="J9" s="19" t="e">
        <f ca="1">[1]!PilePcFx(A9, 3, 2)*9.80665/100</f>
        <v>#NAME?</v>
      </c>
      <c r="K9" s="19" t="e">
        <f ca="1">(I9-G9)*D9*H9/1000</f>
        <v>#NAME?</v>
      </c>
      <c r="L9" s="19" t="e">
        <f ca="1">(J9-G9)*D9*H9/1000</f>
        <v>#NAME?</v>
      </c>
      <c r="M9" s="34" t="e">
        <f ca="1">[1]!PilePcFx(A9, 4, 1)*9.80665/100</f>
        <v>#NAME?</v>
      </c>
      <c r="N9" s="34" t="e">
        <f ca="1">[1]!PilePcFx(A9, 4, 2)*9.80665/100</f>
        <v>#NAME?</v>
      </c>
    </row>
    <row r="10" spans="1:33" x14ac:dyDescent="0.3">
      <c r="A10" s="16" t="s">
        <v>628</v>
      </c>
      <c r="B10" s="17">
        <v>9</v>
      </c>
      <c r="C10" s="3" t="e">
        <f ca="1">[1]!Pile(A10, 1)</f>
        <v>#NAME?</v>
      </c>
      <c r="D10" s="3" t="e">
        <f ca="1">[1]!Pile(A10, 12)*100</f>
        <v>#NAME?</v>
      </c>
      <c r="E10" s="3" t="e">
        <f ca="1">[1]!Pile(A10, 22)*10*10*10*10</f>
        <v>#NAME?</v>
      </c>
      <c r="F10" s="91" t="e">
        <f ca="1">[1]!Pile(A10, 25)*10*10*10</f>
        <v>#NAME?</v>
      </c>
      <c r="G10" s="19" t="e">
        <f ca="1">[1]!PilePcFx(A10,2,1)*9.80665/100</f>
        <v>#NAME?</v>
      </c>
      <c r="H10" s="20" t="e">
        <f ca="1">1-(IF(0&gt;+B10*1000/C10-$E$19,0,(B10*1000/C10-$E$19)/100))</f>
        <v>#NAME?</v>
      </c>
      <c r="I10" s="19" t="e">
        <f ca="1">[1]!PilePcFx(A10, 3,1)*9.80665/100</f>
        <v>#NAME?</v>
      </c>
      <c r="J10" s="19" t="e">
        <f ca="1">[1]!PilePcFx(A10, 3, 2)*9.80665/100</f>
        <v>#NAME?</v>
      </c>
      <c r="K10" s="19" t="e">
        <f ca="1">(I10-G10)*D10*H10/1000</f>
        <v>#NAME?</v>
      </c>
      <c r="L10" s="19" t="e">
        <f ca="1">(J10-G10)*D10*H10/1000</f>
        <v>#NAME?</v>
      </c>
      <c r="M10" s="34" t="e">
        <f ca="1">[1]!PilePcFx(A10, 4, 1)*9.80665/100</f>
        <v>#NAME?</v>
      </c>
      <c r="N10" s="34" t="e">
        <f ca="1">[1]!PilePcFx(A10, 4, 2)*9.80665/100</f>
        <v>#NAME?</v>
      </c>
      <c r="S10" s="25"/>
    </row>
    <row r="11" spans="1:33" x14ac:dyDescent="0.3">
      <c r="A11" s="149"/>
      <c r="B11" s="17"/>
      <c r="C11" s="5"/>
      <c r="D11" s="5"/>
      <c r="E11" s="5"/>
      <c r="F11" s="150"/>
      <c r="G11" s="151"/>
      <c r="H11" s="143"/>
      <c r="I11" s="151"/>
      <c r="J11" s="151"/>
      <c r="K11" s="151"/>
      <c r="L11" s="151"/>
      <c r="M11" s="152"/>
      <c r="N11" s="152"/>
    </row>
    <row r="12" spans="1:33" ht="13.8" x14ac:dyDescent="0.3">
      <c r="A12" s="18" t="s">
        <v>217</v>
      </c>
      <c r="B12" s="443" t="s">
        <v>218</v>
      </c>
      <c r="C12" s="444"/>
      <c r="D12" s="444"/>
      <c r="E12" s="9" t="s">
        <v>330</v>
      </c>
      <c r="G12" s="18" t="s">
        <v>64</v>
      </c>
      <c r="H12" s="442" t="s">
        <v>219</v>
      </c>
      <c r="I12" s="442"/>
      <c r="J12" s="442"/>
      <c r="K12" s="2" t="s">
        <v>334</v>
      </c>
    </row>
    <row r="13" spans="1:33" ht="13.8" x14ac:dyDescent="0.3">
      <c r="A13" s="18" t="s">
        <v>65</v>
      </c>
      <c r="B13" s="443" t="s">
        <v>220</v>
      </c>
      <c r="C13" s="444"/>
      <c r="D13" s="444"/>
      <c r="E13" s="9" t="s">
        <v>2</v>
      </c>
      <c r="G13" s="18" t="s">
        <v>66</v>
      </c>
      <c r="H13" s="442" t="s">
        <v>221</v>
      </c>
      <c r="I13" s="442"/>
      <c r="J13" s="442"/>
      <c r="K13" s="2" t="s">
        <v>334</v>
      </c>
    </row>
    <row r="14" spans="1:33" ht="13.8" x14ac:dyDescent="0.3">
      <c r="A14" s="18" t="s">
        <v>67</v>
      </c>
      <c r="B14" s="443" t="s">
        <v>222</v>
      </c>
      <c r="C14" s="444"/>
      <c r="D14" s="444"/>
      <c r="E14" s="9" t="s">
        <v>331</v>
      </c>
      <c r="G14" s="18" t="s">
        <v>68</v>
      </c>
      <c r="H14" s="442" t="s">
        <v>223</v>
      </c>
      <c r="I14" s="442"/>
      <c r="J14" s="442"/>
      <c r="K14" s="2" t="s">
        <v>87</v>
      </c>
      <c r="L14" s="440" t="s">
        <v>69</v>
      </c>
      <c r="M14" s="441"/>
      <c r="AC14" s="18"/>
      <c r="AD14" s="24"/>
      <c r="AE14" s="3"/>
    </row>
    <row r="15" spans="1:33" ht="13.8" x14ac:dyDescent="0.3">
      <c r="A15" s="18" t="s">
        <v>70</v>
      </c>
      <c r="B15" s="443" t="s">
        <v>224</v>
      </c>
      <c r="C15" s="444"/>
      <c r="D15" s="444"/>
      <c r="E15" s="9" t="s">
        <v>332</v>
      </c>
      <c r="G15" s="18" t="s">
        <v>71</v>
      </c>
      <c r="H15" s="442" t="s">
        <v>225</v>
      </c>
      <c r="I15" s="442"/>
      <c r="J15" s="442"/>
      <c r="K15" s="2" t="s">
        <v>88</v>
      </c>
      <c r="L15" s="440" t="s">
        <v>72</v>
      </c>
      <c r="M15" s="441"/>
      <c r="S15" s="25"/>
      <c r="AC15" s="18"/>
      <c r="AD15" s="24"/>
      <c r="AG15" s="3"/>
    </row>
    <row r="16" spans="1:33" ht="13.8" x14ac:dyDescent="0.3">
      <c r="A16" s="18" t="s">
        <v>73</v>
      </c>
      <c r="B16" s="443" t="s">
        <v>226</v>
      </c>
      <c r="C16" s="444"/>
      <c r="D16" s="444"/>
      <c r="E16" s="9" t="s">
        <v>333</v>
      </c>
      <c r="G16" s="18" t="s">
        <v>74</v>
      </c>
      <c r="H16" s="442" t="s">
        <v>227</v>
      </c>
      <c r="I16" s="442"/>
      <c r="J16" s="442"/>
      <c r="K16" s="2" t="s">
        <v>334</v>
      </c>
      <c r="AD16" s="24"/>
    </row>
    <row r="17" spans="1:33" ht="13.8" x14ac:dyDescent="0.3">
      <c r="A17" s="18" t="s">
        <v>75</v>
      </c>
      <c r="B17" s="442" t="s">
        <v>228</v>
      </c>
      <c r="C17" s="442"/>
      <c r="D17" s="442"/>
      <c r="E17" s="2" t="s">
        <v>334</v>
      </c>
      <c r="G17" s="18" t="s">
        <v>76</v>
      </c>
      <c r="H17" s="442" t="s">
        <v>229</v>
      </c>
      <c r="I17" s="442"/>
      <c r="J17" s="442"/>
      <c r="K17" s="2" t="s">
        <v>334</v>
      </c>
      <c r="AC17" s="18"/>
      <c r="AD17" s="24"/>
      <c r="AG17" s="3"/>
    </row>
    <row r="18" spans="1:33" ht="12.9" x14ac:dyDescent="0.3">
      <c r="A18" s="18" t="s">
        <v>77</v>
      </c>
      <c r="B18" s="443" t="s">
        <v>230</v>
      </c>
      <c r="C18" s="444"/>
      <c r="D18" s="444"/>
      <c r="E18" s="443" t="s">
        <v>78</v>
      </c>
      <c r="F18" s="444"/>
      <c r="AC18" s="18"/>
      <c r="AD18" s="24"/>
      <c r="AG18" s="3"/>
    </row>
    <row r="19" spans="1:33" ht="12.9" x14ac:dyDescent="0.3">
      <c r="A19" s="18" t="s">
        <v>79</v>
      </c>
      <c r="B19" s="443" t="s">
        <v>231</v>
      </c>
      <c r="C19" s="444"/>
      <c r="D19" s="444"/>
      <c r="E19" s="24">
        <v>85</v>
      </c>
      <c r="AC19" s="18"/>
    </row>
    <row r="20" spans="1:33" x14ac:dyDescent="0.3">
      <c r="S20" s="25"/>
      <c r="AD20" s="24"/>
    </row>
    <row r="21" spans="1:33" x14ac:dyDescent="0.3">
      <c r="A21" s="442" t="s">
        <v>232</v>
      </c>
      <c r="B21" s="442"/>
      <c r="C21" s="442"/>
      <c r="G21" s="3"/>
    </row>
    <row r="22" spans="1:33" x14ac:dyDescent="0.3">
      <c r="A22" s="3" t="s">
        <v>216</v>
      </c>
      <c r="B22" s="3" t="s">
        <v>3</v>
      </c>
      <c r="C22" s="3" t="s">
        <v>80</v>
      </c>
      <c r="D22" s="3" t="s">
        <v>502</v>
      </c>
      <c r="E22" s="3" t="s">
        <v>43</v>
      </c>
      <c r="F22" s="3" t="s">
        <v>44</v>
      </c>
      <c r="G22" s="3" t="s">
        <v>45</v>
      </c>
      <c r="H22" s="3" t="s">
        <v>46</v>
      </c>
      <c r="I22" s="3" t="s">
        <v>47</v>
      </c>
      <c r="J22" s="3" t="s">
        <v>48</v>
      </c>
      <c r="K22" s="3" t="s">
        <v>50</v>
      </c>
      <c r="L22" s="3" t="s">
        <v>51</v>
      </c>
      <c r="M22" s="3" t="s">
        <v>49</v>
      </c>
      <c r="N22" s="3" t="s">
        <v>52</v>
      </c>
    </row>
    <row r="23" spans="1:33" x14ac:dyDescent="0.3">
      <c r="A23" s="26" t="str">
        <f>A6</f>
        <v>PHC30A</v>
      </c>
      <c r="B23" s="20" t="e">
        <f ca="1">[1]!Pile(A23, 1)/1000</f>
        <v>#NAME?</v>
      </c>
      <c r="C23" s="27" t="e">
        <f ca="1">B23^2*PI()/4</f>
        <v>#NAME?</v>
      </c>
      <c r="D23" s="3" t="e">
        <f ca="1">B23*3.14</f>
        <v>#NAME?</v>
      </c>
      <c r="E23" s="17">
        <v>9</v>
      </c>
      <c r="F23" s="92">
        <v>50</v>
      </c>
      <c r="G23" s="92">
        <v>0</v>
      </c>
      <c r="H23" s="17">
        <v>13</v>
      </c>
      <c r="I23" s="17">
        <v>0</v>
      </c>
      <c r="J23" s="17">
        <v>0</v>
      </c>
      <c r="K23" s="22" t="e">
        <f ca="1">1/3*300*C23*F23</f>
        <v>#NAME?</v>
      </c>
      <c r="L23" s="21" t="e">
        <f ca="1">1/3*(G23*H23*10/3+1/2*I23*J23)*D23</f>
        <v>#NAME?</v>
      </c>
      <c r="M23" s="22" t="e">
        <f ca="1">+K23+L23</f>
        <v>#NAME?</v>
      </c>
      <c r="N23" s="22" t="e">
        <f ca="1">M23*2</f>
        <v>#NAME?</v>
      </c>
      <c r="P23" s="2">
        <f>1*1*20*2</f>
        <v>40</v>
      </c>
    </row>
    <row r="24" spans="1:33" x14ac:dyDescent="0.3">
      <c r="A24" s="26" t="str">
        <f>A7</f>
        <v>PHC35B</v>
      </c>
      <c r="B24" s="20" t="e">
        <f ca="1">[1]!Pile(A24, 1)/1000</f>
        <v>#NAME?</v>
      </c>
      <c r="C24" s="27" t="e">
        <f ca="1">B24^2*PI()/4</f>
        <v>#NAME?</v>
      </c>
      <c r="D24" s="3" t="e">
        <f ca="1">B24*3.14</f>
        <v>#NAME?</v>
      </c>
      <c r="E24" s="17">
        <v>9</v>
      </c>
      <c r="F24" s="92">
        <v>50</v>
      </c>
      <c r="G24" s="92">
        <v>0</v>
      </c>
      <c r="H24" s="17">
        <v>13</v>
      </c>
      <c r="I24" s="17">
        <v>0</v>
      </c>
      <c r="J24" s="17">
        <v>0</v>
      </c>
      <c r="K24" s="22" t="e">
        <f ca="1">1/3*200*C24*F24</f>
        <v>#NAME?</v>
      </c>
      <c r="L24" s="21" t="e">
        <f ca="1">1/3*(G24*H24*10/3+1/2*I24*J24)*D24</f>
        <v>#NAME?</v>
      </c>
      <c r="M24" s="22" t="e">
        <f ca="1">+K24+L24</f>
        <v>#NAME?</v>
      </c>
      <c r="N24" s="22" t="e">
        <f ca="1">M24*2</f>
        <v>#NAME?</v>
      </c>
    </row>
    <row r="25" spans="1:33" x14ac:dyDescent="0.3">
      <c r="A25" s="26" t="str">
        <f>A8</f>
        <v>PHC45B</v>
      </c>
      <c r="B25" s="20" t="e">
        <f ca="1">[1]!Pile(A25, 1)/1000</f>
        <v>#NAME?</v>
      </c>
      <c r="C25" s="27" t="e">
        <f ca="1">B25^2*PI()/4</f>
        <v>#NAME?</v>
      </c>
      <c r="D25" s="3" t="e">
        <f ca="1">B25*3.14</f>
        <v>#NAME?</v>
      </c>
      <c r="E25" s="17">
        <v>9</v>
      </c>
      <c r="F25" s="92">
        <v>50</v>
      </c>
      <c r="G25" s="92">
        <v>0</v>
      </c>
      <c r="H25" s="17">
        <v>13</v>
      </c>
      <c r="I25" s="17">
        <v>0</v>
      </c>
      <c r="J25" s="17">
        <v>0</v>
      </c>
      <c r="K25" s="22" t="e">
        <f ca="1">1/3*300*C25*F25</f>
        <v>#NAME?</v>
      </c>
      <c r="L25" s="21" t="e">
        <f ca="1">1/3*(G25*H25*10/3+1/2*I25*J25)*D25</f>
        <v>#NAME?</v>
      </c>
      <c r="M25" s="22" t="e">
        <f ca="1">+K25+L25</f>
        <v>#NAME?</v>
      </c>
      <c r="N25" s="22" t="e">
        <f ca="1">M25*2</f>
        <v>#NAME?</v>
      </c>
      <c r="O25" s="4"/>
    </row>
    <row r="26" spans="1:33" x14ac:dyDescent="0.3">
      <c r="A26" s="26" t="str">
        <f>A9</f>
        <v>PHC50B</v>
      </c>
      <c r="B26" s="20" t="e">
        <f ca="1">[1]!Pile(A26, 1)/1000</f>
        <v>#NAME?</v>
      </c>
      <c r="C26" s="27" t="e">
        <f ca="1">B26^2*PI()/4</f>
        <v>#NAME?</v>
      </c>
      <c r="D26" s="3" t="e">
        <f ca="1">B26*3.14</f>
        <v>#NAME?</v>
      </c>
      <c r="E26" s="17">
        <v>9</v>
      </c>
      <c r="F26" s="92">
        <v>50</v>
      </c>
      <c r="G26" s="92">
        <v>0</v>
      </c>
      <c r="H26" s="17">
        <v>13</v>
      </c>
      <c r="I26" s="17">
        <v>0</v>
      </c>
      <c r="J26" s="17">
        <v>0</v>
      </c>
      <c r="K26" s="22" t="e">
        <f ca="1">1/3*300*C26*F26</f>
        <v>#NAME?</v>
      </c>
      <c r="L26" s="21" t="e">
        <f ca="1">1/3*(G26*H26*10/3+1/2*I26*J26)*D26</f>
        <v>#NAME?</v>
      </c>
      <c r="M26" s="22" t="e">
        <f ca="1">+K26+L26</f>
        <v>#NAME?</v>
      </c>
      <c r="N26" s="22" t="e">
        <f ca="1">M26*2</f>
        <v>#NAME?</v>
      </c>
      <c r="S26" s="25"/>
    </row>
    <row r="27" spans="1:33" x14ac:dyDescent="0.3">
      <c r="A27" s="26" t="str">
        <f>A10</f>
        <v>PHC60B</v>
      </c>
      <c r="B27" s="20" t="e">
        <f ca="1">[1]!Pile(A27, 1)/1000</f>
        <v>#NAME?</v>
      </c>
      <c r="C27" s="27" t="e">
        <f ca="1">B27^2*PI()/4</f>
        <v>#NAME?</v>
      </c>
      <c r="D27" s="3" t="e">
        <f ca="1">B27*3.14</f>
        <v>#NAME?</v>
      </c>
      <c r="E27" s="17">
        <v>9</v>
      </c>
      <c r="F27" s="92">
        <v>50</v>
      </c>
      <c r="G27" s="92">
        <v>0</v>
      </c>
      <c r="H27" s="17">
        <v>13</v>
      </c>
      <c r="I27" s="17">
        <v>0</v>
      </c>
      <c r="J27" s="17">
        <v>0</v>
      </c>
      <c r="K27" s="22" t="e">
        <f ca="1">1/3*300*C27*F27</f>
        <v>#NAME?</v>
      </c>
      <c r="L27" s="21" t="e">
        <f ca="1">1/3*(G27*H27*10/3+1/2*I27*J27)*D27</f>
        <v>#NAME?</v>
      </c>
      <c r="M27" s="22" t="e">
        <f ca="1">+K27+L27</f>
        <v>#NAME?</v>
      </c>
      <c r="N27" s="22" t="e">
        <f ca="1">M27*2</f>
        <v>#NAME?</v>
      </c>
    </row>
    <row r="28" spans="1:33" x14ac:dyDescent="0.3">
      <c r="A28" s="142"/>
      <c r="B28" s="143"/>
      <c r="C28" s="144"/>
      <c r="D28" s="5"/>
      <c r="E28" s="17"/>
      <c r="F28" s="92"/>
      <c r="G28" s="92"/>
      <c r="H28" s="17"/>
      <c r="I28" s="145"/>
      <c r="J28" s="145"/>
      <c r="K28" s="146"/>
      <c r="L28" s="148"/>
      <c r="M28" s="146"/>
      <c r="N28" s="146"/>
    </row>
    <row r="29" spans="1:33" x14ac:dyDescent="0.3">
      <c r="A29" s="142"/>
      <c r="B29" s="143"/>
      <c r="C29" s="144"/>
      <c r="D29" s="5"/>
      <c r="E29" s="145"/>
      <c r="F29" s="92"/>
      <c r="G29" s="92"/>
      <c r="H29" s="17"/>
      <c r="I29" s="145"/>
      <c r="J29" s="145"/>
      <c r="K29" s="146"/>
      <c r="L29" s="148"/>
      <c r="M29" s="146"/>
      <c r="N29" s="146"/>
    </row>
    <row r="30" spans="1:33" x14ac:dyDescent="0.3">
      <c r="A30" s="18" t="s">
        <v>81</v>
      </c>
      <c r="B30" s="24" t="s">
        <v>218</v>
      </c>
      <c r="C30" s="3" t="s">
        <v>2</v>
      </c>
      <c r="D30" s="17"/>
      <c r="G30" s="17"/>
      <c r="J30" s="18" t="s">
        <v>82</v>
      </c>
      <c r="K30" s="2" t="s">
        <v>234</v>
      </c>
      <c r="M30" s="3" t="s">
        <v>89</v>
      </c>
    </row>
    <row r="31" spans="1:33" x14ac:dyDescent="0.3">
      <c r="A31" s="18" t="s">
        <v>233</v>
      </c>
      <c r="B31" s="2" t="s">
        <v>500</v>
      </c>
      <c r="K31" s="2" t="s">
        <v>501</v>
      </c>
      <c r="L31" s="30"/>
      <c r="M31" s="25"/>
    </row>
    <row r="32" spans="1:33" x14ac:dyDescent="0.3">
      <c r="A32" s="18" t="s">
        <v>31</v>
      </c>
      <c r="B32" s="2" t="s">
        <v>235</v>
      </c>
      <c r="C32" s="3" t="s">
        <v>2</v>
      </c>
      <c r="K32" s="18" t="s">
        <v>33</v>
      </c>
      <c r="L32" s="24" t="s">
        <v>237</v>
      </c>
      <c r="N32" s="24" t="s">
        <v>2</v>
      </c>
    </row>
    <row r="33" spans="1:19" ht="13.8" x14ac:dyDescent="0.3">
      <c r="A33" s="18" t="s">
        <v>32</v>
      </c>
      <c r="B33" s="24" t="s">
        <v>236</v>
      </c>
      <c r="C33" s="20"/>
      <c r="K33" s="18" t="s">
        <v>36</v>
      </c>
      <c r="L33" s="24" t="s">
        <v>239</v>
      </c>
      <c r="N33" s="24" t="s">
        <v>336</v>
      </c>
    </row>
    <row r="34" spans="1:19" x14ac:dyDescent="0.3">
      <c r="A34" s="31" t="s">
        <v>34</v>
      </c>
      <c r="B34" s="24" t="s">
        <v>238</v>
      </c>
      <c r="E34" s="3" t="s">
        <v>35</v>
      </c>
      <c r="J34" s="18" t="s">
        <v>38</v>
      </c>
      <c r="K34" s="2" t="s">
        <v>241</v>
      </c>
      <c r="M34" s="3" t="s">
        <v>90</v>
      </c>
      <c r="S34" s="25"/>
    </row>
    <row r="35" spans="1:19" x14ac:dyDescent="0.3">
      <c r="A35" s="31" t="s">
        <v>37</v>
      </c>
      <c r="B35" s="24" t="s">
        <v>240</v>
      </c>
      <c r="K35" s="24" t="s">
        <v>41</v>
      </c>
      <c r="O35" s="23"/>
    </row>
    <row r="36" spans="1:19" x14ac:dyDescent="0.3">
      <c r="A36" s="18" t="s">
        <v>39</v>
      </c>
      <c r="B36" s="24" t="s">
        <v>242</v>
      </c>
      <c r="C36" s="32"/>
      <c r="E36" s="3" t="s">
        <v>40</v>
      </c>
      <c r="J36" s="18" t="s">
        <v>83</v>
      </c>
      <c r="K36" s="2" t="s">
        <v>244</v>
      </c>
      <c r="O36" s="3" t="s">
        <v>91</v>
      </c>
    </row>
    <row r="37" spans="1:19" ht="13.8" x14ac:dyDescent="0.3">
      <c r="A37" s="28" t="s">
        <v>42</v>
      </c>
      <c r="B37" s="24" t="s">
        <v>243</v>
      </c>
      <c r="F37" s="3" t="s">
        <v>335</v>
      </c>
      <c r="J37" s="18" t="s">
        <v>85</v>
      </c>
      <c r="K37" s="2" t="s">
        <v>246</v>
      </c>
      <c r="O37" s="3" t="s">
        <v>91</v>
      </c>
    </row>
    <row r="38" spans="1:19" x14ac:dyDescent="0.3">
      <c r="B38" s="18" t="s">
        <v>84</v>
      </c>
      <c r="C38" s="24" t="s">
        <v>245</v>
      </c>
    </row>
    <row r="39" spans="1:19" ht="13.8" x14ac:dyDescent="0.3">
      <c r="C39" s="18" t="s">
        <v>86</v>
      </c>
      <c r="D39" s="90">
        <f>G38/8.2</f>
        <v>0</v>
      </c>
      <c r="E39" s="2" t="s">
        <v>335</v>
      </c>
      <c r="F39" s="24" t="s">
        <v>247</v>
      </c>
      <c r="G39" s="96"/>
      <c r="H39" s="96"/>
    </row>
    <row r="40" spans="1:19" x14ac:dyDescent="0.3">
      <c r="D40" s="18"/>
    </row>
    <row r="48" spans="1:19" x14ac:dyDescent="0.3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</row>
    <row r="49" spans="1:11" x14ac:dyDescent="0.3">
      <c r="A49" s="3"/>
      <c r="B49" s="3"/>
      <c r="C49" s="3"/>
      <c r="F49" s="3"/>
      <c r="G49" s="33"/>
      <c r="H49" s="23"/>
      <c r="I49" s="34"/>
      <c r="J49" s="9"/>
      <c r="K49" s="20"/>
    </row>
    <row r="50" spans="1:11" x14ac:dyDescent="0.3">
      <c r="A50" s="3"/>
      <c r="B50" s="3"/>
      <c r="C50" s="3"/>
      <c r="F50" s="3"/>
      <c r="G50" s="33"/>
      <c r="H50" s="23"/>
      <c r="I50" s="34"/>
      <c r="J50" s="9"/>
      <c r="K50" s="20"/>
    </row>
    <row r="51" spans="1:11" x14ac:dyDescent="0.3">
      <c r="A51" s="3"/>
      <c r="B51" s="3"/>
      <c r="C51" s="3"/>
      <c r="F51" s="3"/>
      <c r="G51" s="33"/>
      <c r="H51" s="23"/>
      <c r="I51" s="34"/>
      <c r="J51" s="9"/>
      <c r="K51" s="20"/>
    </row>
    <row r="57" spans="1:11" x14ac:dyDescent="0.3">
      <c r="A57" s="18"/>
      <c r="F57" s="3"/>
      <c r="I57" s="18"/>
      <c r="K57" s="18"/>
    </row>
    <row r="58" spans="1:11" x14ac:dyDescent="0.3">
      <c r="A58" s="18"/>
      <c r="F58" s="18"/>
    </row>
    <row r="59" spans="1:11" x14ac:dyDescent="0.3">
      <c r="A59" s="18"/>
      <c r="F59" s="18"/>
      <c r="K59" s="18"/>
    </row>
    <row r="60" spans="1:11" x14ac:dyDescent="0.3">
      <c r="A60" s="18"/>
      <c r="F60" s="18"/>
      <c r="K60" s="3"/>
    </row>
    <row r="61" spans="1:11" x14ac:dyDescent="0.3">
      <c r="F61" s="18"/>
    </row>
    <row r="78" spans="1:1" x14ac:dyDescent="0.3">
      <c r="A78" s="24"/>
    </row>
    <row r="79" spans="1:1" x14ac:dyDescent="0.3">
      <c r="A79" s="9"/>
    </row>
    <row r="82" spans="1:16" x14ac:dyDescent="0.3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</row>
    <row r="83" spans="1:16" x14ac:dyDescent="0.3">
      <c r="A83" s="3"/>
      <c r="B83" s="20"/>
      <c r="C83" s="3"/>
      <c r="D83" s="3"/>
      <c r="E83" s="3"/>
      <c r="F83" s="33"/>
      <c r="G83" s="19"/>
      <c r="H83" s="18"/>
      <c r="I83" s="35"/>
      <c r="J83" s="3"/>
      <c r="K83" s="3"/>
      <c r="L83" s="33"/>
      <c r="M83" s="20"/>
      <c r="N83" s="20"/>
      <c r="O83" s="20"/>
      <c r="P83" s="20"/>
    </row>
    <row r="84" spans="1:16" x14ac:dyDescent="0.3">
      <c r="A84" s="3"/>
      <c r="B84" s="20"/>
      <c r="C84" s="3"/>
      <c r="D84" s="3"/>
      <c r="E84" s="3"/>
      <c r="F84" s="33"/>
      <c r="G84" s="19"/>
      <c r="H84" s="18"/>
      <c r="I84" s="35"/>
      <c r="J84" s="3"/>
      <c r="K84" s="3"/>
      <c r="L84" s="33"/>
      <c r="M84" s="20"/>
      <c r="N84" s="20"/>
      <c r="O84" s="20"/>
      <c r="P84" s="20"/>
    </row>
    <row r="85" spans="1:16" x14ac:dyDescent="0.3">
      <c r="A85" s="3"/>
      <c r="B85" s="20"/>
      <c r="C85" s="3"/>
      <c r="D85" s="3"/>
      <c r="E85" s="3"/>
      <c r="F85" s="33"/>
      <c r="G85" s="19"/>
      <c r="H85" s="18"/>
      <c r="I85" s="35"/>
      <c r="J85" s="3"/>
      <c r="K85" s="3"/>
      <c r="L85" s="33"/>
      <c r="M85" s="20"/>
      <c r="N85" s="20"/>
      <c r="O85" s="20"/>
      <c r="P85" s="20"/>
    </row>
    <row r="86" spans="1:16" x14ac:dyDescent="0.3">
      <c r="J86" s="3"/>
    </row>
    <row r="89" spans="1:16" x14ac:dyDescent="0.3">
      <c r="A89" s="18"/>
      <c r="J89" s="18"/>
    </row>
    <row r="90" spans="1:16" x14ac:dyDescent="0.3">
      <c r="A90" s="18"/>
      <c r="J90" s="18"/>
    </row>
    <row r="91" spans="1:16" x14ac:dyDescent="0.3">
      <c r="A91" s="18"/>
    </row>
    <row r="92" spans="1:16" x14ac:dyDescent="0.3">
      <c r="A92" s="18"/>
      <c r="B92" s="24"/>
      <c r="G92" s="24"/>
      <c r="J92" s="18"/>
    </row>
    <row r="93" spans="1:16" x14ac:dyDescent="0.3">
      <c r="A93" s="18"/>
      <c r="E93" s="24"/>
      <c r="J93" s="18"/>
    </row>
    <row r="94" spans="1:16" x14ac:dyDescent="0.3">
      <c r="B94" s="24"/>
      <c r="J94" s="18"/>
    </row>
    <row r="95" spans="1:16" x14ac:dyDescent="0.3">
      <c r="A95" s="18"/>
      <c r="E95" s="24"/>
      <c r="J95" s="18"/>
    </row>
    <row r="96" spans="1:16" x14ac:dyDescent="0.3">
      <c r="A96" s="18"/>
      <c r="B96" s="24"/>
      <c r="E96" s="3"/>
      <c r="J96" s="18"/>
    </row>
    <row r="97" spans="1:17" x14ac:dyDescent="0.3">
      <c r="A97" s="18"/>
      <c r="B97" s="24"/>
      <c r="C97" s="24"/>
      <c r="F97" s="24"/>
    </row>
    <row r="101" spans="1:17" x14ac:dyDescent="0.3">
      <c r="A101" s="4"/>
      <c r="B101" s="4"/>
      <c r="C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Q101" s="4"/>
    </row>
    <row r="102" spans="1:17" x14ac:dyDescent="0.3">
      <c r="A102" s="4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Q102" s="4"/>
    </row>
    <row r="103" spans="1:17" x14ac:dyDescent="0.3">
      <c r="A103" s="4"/>
      <c r="B103" s="29"/>
      <c r="C103" s="29"/>
      <c r="D103" s="29"/>
      <c r="E103" s="29"/>
      <c r="F103" s="36"/>
      <c r="G103" s="29"/>
      <c r="H103" s="29"/>
      <c r="I103" s="29"/>
      <c r="J103" s="29"/>
      <c r="K103" s="29"/>
      <c r="L103" s="29"/>
      <c r="M103" s="36"/>
      <c r="N103" s="29"/>
      <c r="O103" s="29"/>
      <c r="Q103" s="4"/>
    </row>
    <row r="104" spans="1:17" x14ac:dyDescent="0.3">
      <c r="A104" s="4"/>
      <c r="B104" s="29"/>
      <c r="C104" s="29"/>
      <c r="D104" s="29"/>
      <c r="E104" s="29"/>
      <c r="F104" s="36"/>
      <c r="G104" s="29"/>
      <c r="H104" s="29"/>
      <c r="I104" s="29"/>
      <c r="J104" s="29"/>
      <c r="K104" s="29"/>
      <c r="L104" s="29"/>
      <c r="M104" s="36"/>
      <c r="N104" s="29"/>
      <c r="O104" s="29"/>
      <c r="P104" s="4"/>
      <c r="Q104" s="4"/>
    </row>
    <row r="105" spans="1:17" x14ac:dyDescent="0.3">
      <c r="A105" s="4"/>
      <c r="B105" s="29"/>
      <c r="C105" s="29"/>
      <c r="D105" s="29"/>
      <c r="E105" s="29"/>
      <c r="F105" s="36"/>
      <c r="G105" s="29"/>
      <c r="H105" s="29"/>
      <c r="I105" s="29"/>
      <c r="J105" s="29"/>
      <c r="K105" s="29"/>
      <c r="L105" s="29"/>
      <c r="M105" s="36"/>
      <c r="N105" s="29"/>
      <c r="O105" s="29"/>
      <c r="P105" s="4"/>
      <c r="Q105" s="4"/>
    </row>
  </sheetData>
  <mergeCells count="18">
    <mergeCell ref="L14:M14"/>
    <mergeCell ref="L15:M15"/>
    <mergeCell ref="A21:C21"/>
    <mergeCell ref="B19:D19"/>
    <mergeCell ref="H16:J16"/>
    <mergeCell ref="H17:J17"/>
    <mergeCell ref="B16:D16"/>
    <mergeCell ref="B17:D17"/>
    <mergeCell ref="B18:D18"/>
    <mergeCell ref="E18:F18"/>
    <mergeCell ref="B12:D12"/>
    <mergeCell ref="B13:D13"/>
    <mergeCell ref="B14:D14"/>
    <mergeCell ref="B15:D15"/>
    <mergeCell ref="H12:J12"/>
    <mergeCell ref="H13:J13"/>
    <mergeCell ref="H14:J14"/>
    <mergeCell ref="H15:J15"/>
  </mergeCells>
  <phoneticPr fontId="2"/>
  <pageMargins left="0.78740157480314965" right="0.78740157480314965" top="0.98425196850393704" bottom="0.98425196850393704" header="0.51181102362204722" footer="0.51181102362204722"/>
  <pageSetup paperSize="9" orientation="landscape" horizontalDpi="300" verticalDpi="300" r:id="rId1"/>
  <headerFooter alignWithMargins="0">
    <oddFooter>&amp;C&amp;1#&amp;"Calibri"&amp;10&amp;K000000Confidential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D39"/>
  <sheetViews>
    <sheetView zoomScale="75" workbookViewId="0">
      <selection activeCell="B10" sqref="B10"/>
    </sheetView>
  </sheetViews>
  <sheetFormatPr defaultColWidth="9" defaultRowHeight="12.6" customHeight="1" x14ac:dyDescent="0.3"/>
  <cols>
    <col min="1" max="1" width="11.62890625" style="2" customWidth="1"/>
    <col min="2" max="29" width="6.26171875" style="2" customWidth="1"/>
    <col min="30" max="30" width="6.26171875" style="37" customWidth="1"/>
    <col min="31" max="31" width="6.26171875" style="2" customWidth="1"/>
    <col min="32" max="16384" width="9" style="2"/>
  </cols>
  <sheetData>
    <row r="1" spans="1:30" ht="12.6" customHeight="1" x14ac:dyDescent="0.3">
      <c r="A1" s="2" t="s">
        <v>248</v>
      </c>
    </row>
    <row r="3" spans="1:30" ht="12.6" customHeight="1" x14ac:dyDescent="0.3">
      <c r="A3" s="2" t="s">
        <v>249</v>
      </c>
    </row>
    <row r="4" spans="1:30" ht="12.6" customHeight="1" x14ac:dyDescent="0.3">
      <c r="A4" s="38"/>
      <c r="B4" s="39" t="s">
        <v>509</v>
      </c>
      <c r="C4" s="40" t="s">
        <v>510</v>
      </c>
      <c r="D4" s="40" t="s">
        <v>503</v>
      </c>
      <c r="E4" s="40" t="s">
        <v>497</v>
      </c>
      <c r="F4" s="40" t="s">
        <v>498</v>
      </c>
      <c r="G4" s="40" t="s">
        <v>499</v>
      </c>
      <c r="H4" s="102"/>
      <c r="I4" s="40" t="s">
        <v>511</v>
      </c>
      <c r="J4" s="40" t="s">
        <v>504</v>
      </c>
      <c r="K4" s="40" t="s">
        <v>341</v>
      </c>
      <c r="L4" s="40" t="s">
        <v>56</v>
      </c>
      <c r="M4" s="40" t="s">
        <v>342</v>
      </c>
      <c r="N4" s="40" t="s">
        <v>343</v>
      </c>
      <c r="O4" s="40"/>
      <c r="P4" s="40" t="s">
        <v>512</v>
      </c>
      <c r="Q4" s="40" t="s">
        <v>505</v>
      </c>
      <c r="R4" s="40" t="s">
        <v>506</v>
      </c>
      <c r="S4" s="40" t="s">
        <v>344</v>
      </c>
      <c r="T4" s="40"/>
      <c r="U4" s="40" t="s">
        <v>513</v>
      </c>
      <c r="V4" s="40" t="s">
        <v>507</v>
      </c>
      <c r="W4" s="40" t="s">
        <v>508</v>
      </c>
      <c r="X4" s="40"/>
      <c r="Y4" s="40"/>
      <c r="Z4" s="40"/>
      <c r="AA4" s="40"/>
      <c r="AB4" s="40"/>
      <c r="AC4" s="139" t="s">
        <v>250</v>
      </c>
      <c r="AD4" s="2"/>
    </row>
    <row r="5" spans="1:30" ht="12.6" customHeight="1" x14ac:dyDescent="0.3">
      <c r="A5" s="41" t="s">
        <v>548</v>
      </c>
      <c r="B5" s="100">
        <v>400</v>
      </c>
      <c r="C5" s="101">
        <v>392</v>
      </c>
      <c r="D5" s="100">
        <v>341</v>
      </c>
      <c r="E5" s="100">
        <v>296</v>
      </c>
      <c r="F5" s="100">
        <v>283</v>
      </c>
      <c r="G5" s="100">
        <v>204</v>
      </c>
      <c r="H5" s="138"/>
      <c r="I5" s="100">
        <v>433</v>
      </c>
      <c r="J5" s="100">
        <v>748</v>
      </c>
      <c r="K5" s="100">
        <v>578</v>
      </c>
      <c r="L5" s="125">
        <v>519</v>
      </c>
      <c r="M5" s="101">
        <v>377</v>
      </c>
      <c r="N5" s="101">
        <v>301</v>
      </c>
      <c r="O5" s="101"/>
      <c r="P5" s="101">
        <v>332</v>
      </c>
      <c r="Q5" s="101">
        <v>691</v>
      </c>
      <c r="R5" s="104">
        <v>527</v>
      </c>
      <c r="S5" s="101">
        <v>140</v>
      </c>
      <c r="T5" s="100"/>
      <c r="U5" s="100">
        <v>330</v>
      </c>
      <c r="V5" s="105">
        <v>622</v>
      </c>
      <c r="W5" s="101">
        <v>199</v>
      </c>
      <c r="X5" s="101"/>
      <c r="Y5" s="101"/>
      <c r="Z5" s="101"/>
      <c r="AA5" s="101"/>
      <c r="AB5" s="68"/>
      <c r="AC5" s="42">
        <f>SUM(B5:AB5)</f>
        <v>7713</v>
      </c>
      <c r="AD5" s="2"/>
    </row>
    <row r="6" spans="1:30" ht="12.6" customHeight="1" x14ac:dyDescent="0.3">
      <c r="A6" s="43" t="s">
        <v>549</v>
      </c>
      <c r="B6" s="44">
        <f t="shared" ref="B6:G6" si="0">0.81*B11</f>
        <v>1.62</v>
      </c>
      <c r="C6" s="44">
        <f t="shared" si="0"/>
        <v>2.4300000000000002</v>
      </c>
      <c r="D6" s="44">
        <f t="shared" si="0"/>
        <v>2.4300000000000002</v>
      </c>
      <c r="E6" s="44">
        <f t="shared" si="0"/>
        <v>1.62</v>
      </c>
      <c r="F6" s="44">
        <f t="shared" si="0"/>
        <v>1.62</v>
      </c>
      <c r="G6" s="44">
        <f t="shared" si="0"/>
        <v>1.62</v>
      </c>
      <c r="H6" s="44"/>
      <c r="I6" s="44">
        <f t="shared" ref="I6:N6" si="1">0.81*I11</f>
        <v>2.4300000000000002</v>
      </c>
      <c r="J6" s="44">
        <f t="shared" si="1"/>
        <v>4.0500000000000007</v>
      </c>
      <c r="K6" s="44">
        <f t="shared" si="1"/>
        <v>3.24</v>
      </c>
      <c r="L6" s="44">
        <f t="shared" si="1"/>
        <v>3.24</v>
      </c>
      <c r="M6" s="44">
        <f t="shared" si="1"/>
        <v>1.62</v>
      </c>
      <c r="N6" s="44">
        <f t="shared" si="1"/>
        <v>1.62</v>
      </c>
      <c r="O6" s="44"/>
      <c r="P6" s="44">
        <f>0.81*P11</f>
        <v>2.4300000000000002</v>
      </c>
      <c r="Q6" s="44">
        <f>0.81*Q11</f>
        <v>4.0500000000000007</v>
      </c>
      <c r="R6" s="44">
        <f>0.81*R11</f>
        <v>3.24</v>
      </c>
      <c r="S6" s="44">
        <f>0.81*S11</f>
        <v>0.81</v>
      </c>
      <c r="T6" s="44"/>
      <c r="U6" s="44">
        <f>0.81*U11</f>
        <v>2.4300000000000002</v>
      </c>
      <c r="V6" s="44">
        <f>0.81*V11</f>
        <v>4.0500000000000007</v>
      </c>
      <c r="W6" s="44">
        <f>0.81*W11</f>
        <v>0.81</v>
      </c>
      <c r="X6" s="44"/>
      <c r="Y6" s="44"/>
      <c r="Z6" s="44"/>
      <c r="AA6" s="44"/>
      <c r="AB6" s="44"/>
      <c r="AC6" s="45"/>
      <c r="AD6" s="2"/>
    </row>
    <row r="7" spans="1:30" ht="12.6" customHeight="1" x14ac:dyDescent="0.3">
      <c r="A7" s="43" t="s">
        <v>550</v>
      </c>
      <c r="B7" s="46">
        <v>1.05</v>
      </c>
      <c r="C7" s="46">
        <v>1.05</v>
      </c>
      <c r="D7" s="46">
        <v>1.05</v>
      </c>
      <c r="E7" s="46">
        <v>1.05</v>
      </c>
      <c r="F7" s="46">
        <v>1.05</v>
      </c>
      <c r="G7" s="46">
        <v>1.05</v>
      </c>
      <c r="H7" s="46"/>
      <c r="I7" s="46">
        <v>1.05</v>
      </c>
      <c r="J7" s="46">
        <v>1.05</v>
      </c>
      <c r="K7" s="46">
        <v>1.05</v>
      </c>
      <c r="L7" s="46">
        <v>1.05</v>
      </c>
      <c r="M7" s="46">
        <v>1.05</v>
      </c>
      <c r="N7" s="46">
        <v>1.05</v>
      </c>
      <c r="O7" s="46"/>
      <c r="P7" s="46">
        <v>1.05</v>
      </c>
      <c r="Q7" s="46">
        <v>1.05</v>
      </c>
      <c r="R7" s="46">
        <v>1.05</v>
      </c>
      <c r="S7" s="46">
        <v>1.05</v>
      </c>
      <c r="T7" s="46"/>
      <c r="U7" s="46">
        <v>1.05</v>
      </c>
      <c r="V7" s="46">
        <v>1.05</v>
      </c>
      <c r="W7" s="46">
        <v>1.05</v>
      </c>
      <c r="X7" s="46"/>
      <c r="Y7" s="46"/>
      <c r="Z7" s="46"/>
      <c r="AA7" s="46"/>
      <c r="AB7" s="46"/>
      <c r="AC7" s="45"/>
      <c r="AD7" s="2"/>
    </row>
    <row r="8" spans="1:30" ht="12.6" customHeight="1" x14ac:dyDescent="0.3">
      <c r="A8" s="47" t="s">
        <v>251</v>
      </c>
      <c r="B8" s="48">
        <f t="shared" ref="B8:G8" si="2">+B6*B7*20</f>
        <v>34.020000000000003</v>
      </c>
      <c r="C8" s="48">
        <f t="shared" si="2"/>
        <v>51.030000000000008</v>
      </c>
      <c r="D8" s="48">
        <f t="shared" si="2"/>
        <v>51.030000000000008</v>
      </c>
      <c r="E8" s="48">
        <f t="shared" si="2"/>
        <v>34.020000000000003</v>
      </c>
      <c r="F8" s="48">
        <f t="shared" si="2"/>
        <v>34.020000000000003</v>
      </c>
      <c r="G8" s="48">
        <f t="shared" si="2"/>
        <v>34.020000000000003</v>
      </c>
      <c r="H8" s="106"/>
      <c r="I8" s="48">
        <f t="shared" ref="I8:N8" si="3">+I6*I7*20</f>
        <v>51.030000000000008</v>
      </c>
      <c r="J8" s="48">
        <f t="shared" si="3"/>
        <v>85.050000000000026</v>
      </c>
      <c r="K8" s="48">
        <f t="shared" si="3"/>
        <v>68.040000000000006</v>
      </c>
      <c r="L8" s="107">
        <f t="shared" si="3"/>
        <v>68.040000000000006</v>
      </c>
      <c r="M8" s="48">
        <f t="shared" si="3"/>
        <v>34.020000000000003</v>
      </c>
      <c r="N8" s="48">
        <f t="shared" si="3"/>
        <v>34.020000000000003</v>
      </c>
      <c r="O8" s="48"/>
      <c r="P8" s="48">
        <f>+P6*P7*20</f>
        <v>51.030000000000008</v>
      </c>
      <c r="Q8" s="48">
        <f>+Q6*Q7*20</f>
        <v>85.050000000000026</v>
      </c>
      <c r="R8" s="106">
        <f>+R6*R7*20</f>
        <v>68.040000000000006</v>
      </c>
      <c r="S8" s="48">
        <f>+S6*S7*20</f>
        <v>17.010000000000002</v>
      </c>
      <c r="T8" s="48"/>
      <c r="U8" s="48">
        <f>+U6*U7*20</f>
        <v>51.030000000000008</v>
      </c>
      <c r="V8" s="107">
        <f>+V6*V7*20</f>
        <v>85.050000000000026</v>
      </c>
      <c r="W8" s="48">
        <f>+W6*W7*20</f>
        <v>17.010000000000002</v>
      </c>
      <c r="X8" s="48"/>
      <c r="Y8" s="48"/>
      <c r="Z8" s="48"/>
      <c r="AA8" s="48"/>
      <c r="AB8" s="93"/>
      <c r="AC8" s="140">
        <f>SUM(B8:AB8)</f>
        <v>952.56000000000017</v>
      </c>
      <c r="AD8" s="2"/>
    </row>
    <row r="9" spans="1:30" ht="12.6" customHeight="1" x14ac:dyDescent="0.3">
      <c r="A9" s="47" t="s">
        <v>252</v>
      </c>
      <c r="B9" s="48">
        <f t="shared" ref="B9:G9" si="4">B8+B5</f>
        <v>434.02</v>
      </c>
      <c r="C9" s="48">
        <f t="shared" si="4"/>
        <v>443.03000000000003</v>
      </c>
      <c r="D9" s="48">
        <f t="shared" si="4"/>
        <v>392.03000000000003</v>
      </c>
      <c r="E9" s="48">
        <f t="shared" si="4"/>
        <v>330.02</v>
      </c>
      <c r="F9" s="48">
        <f t="shared" si="4"/>
        <v>317.02</v>
      </c>
      <c r="G9" s="48">
        <f t="shared" si="4"/>
        <v>238.02</v>
      </c>
      <c r="H9" s="106"/>
      <c r="I9" s="48">
        <f t="shared" ref="I9:N9" si="5">I8+I5</f>
        <v>484.03000000000003</v>
      </c>
      <c r="J9" s="48">
        <f t="shared" si="5"/>
        <v>833.05000000000007</v>
      </c>
      <c r="K9" s="48">
        <f t="shared" si="5"/>
        <v>646.04</v>
      </c>
      <c r="L9" s="107">
        <f t="shared" si="5"/>
        <v>587.04</v>
      </c>
      <c r="M9" s="48">
        <f t="shared" si="5"/>
        <v>411.02</v>
      </c>
      <c r="N9" s="48">
        <f t="shared" si="5"/>
        <v>335.02</v>
      </c>
      <c r="O9" s="48"/>
      <c r="P9" s="48">
        <f>P8+P5</f>
        <v>383.03000000000003</v>
      </c>
      <c r="Q9" s="48">
        <f>Q8+Q5</f>
        <v>776.05000000000007</v>
      </c>
      <c r="R9" s="106">
        <f>R8+R5</f>
        <v>595.04</v>
      </c>
      <c r="S9" s="48">
        <f>S8+S5</f>
        <v>157.01</v>
      </c>
      <c r="T9" s="48"/>
      <c r="U9" s="48">
        <f>U8+U5</f>
        <v>381.03000000000003</v>
      </c>
      <c r="V9" s="107">
        <f>V8+V5</f>
        <v>707.05000000000007</v>
      </c>
      <c r="W9" s="48">
        <f>W8+W5</f>
        <v>216.01</v>
      </c>
      <c r="X9" s="48"/>
      <c r="Y9" s="48"/>
      <c r="Z9" s="48"/>
      <c r="AA9" s="48"/>
      <c r="AB9" s="48"/>
      <c r="AC9" s="140">
        <f>SUM(B9:AB9)</f>
        <v>8665.56</v>
      </c>
      <c r="AD9" s="2"/>
    </row>
    <row r="10" spans="1:30" ht="12.6" customHeight="1" x14ac:dyDescent="0.3">
      <c r="A10" s="43" t="s">
        <v>253</v>
      </c>
      <c r="B10" s="101">
        <v>170</v>
      </c>
      <c r="C10" s="101">
        <v>170</v>
      </c>
      <c r="D10" s="101">
        <v>170</v>
      </c>
      <c r="E10" s="101">
        <v>170</v>
      </c>
      <c r="F10" s="101">
        <v>170</v>
      </c>
      <c r="G10" s="101">
        <v>170</v>
      </c>
      <c r="H10" s="101">
        <v>170</v>
      </c>
      <c r="I10" s="101">
        <v>170</v>
      </c>
      <c r="J10" s="101">
        <v>170</v>
      </c>
      <c r="K10" s="101">
        <v>170</v>
      </c>
      <c r="L10" s="101">
        <v>170</v>
      </c>
      <c r="M10" s="101">
        <v>170</v>
      </c>
      <c r="N10" s="101">
        <v>170</v>
      </c>
      <c r="O10" s="101">
        <v>170</v>
      </c>
      <c r="P10" s="101">
        <v>170</v>
      </c>
      <c r="Q10" s="101">
        <v>170</v>
      </c>
      <c r="R10" s="101">
        <v>170</v>
      </c>
      <c r="S10" s="101">
        <v>170</v>
      </c>
      <c r="T10" s="101">
        <v>170</v>
      </c>
      <c r="U10" s="101">
        <v>170</v>
      </c>
      <c r="V10" s="101">
        <v>170</v>
      </c>
      <c r="W10" s="101">
        <v>170</v>
      </c>
      <c r="X10" s="101"/>
      <c r="Y10" s="101"/>
      <c r="Z10" s="101"/>
      <c r="AA10" s="101"/>
      <c r="AB10" s="68"/>
      <c r="AC10" s="45"/>
      <c r="AD10" s="2"/>
    </row>
    <row r="11" spans="1:30" ht="12.6" customHeight="1" x14ac:dyDescent="0.3">
      <c r="A11" s="49" t="s">
        <v>254</v>
      </c>
      <c r="B11" s="50">
        <v>2</v>
      </c>
      <c r="C11" s="50">
        <v>3</v>
      </c>
      <c r="D11" s="50">
        <v>3</v>
      </c>
      <c r="E11" s="50">
        <v>2</v>
      </c>
      <c r="F11" s="50">
        <v>2</v>
      </c>
      <c r="G11" s="50">
        <v>2</v>
      </c>
      <c r="H11" s="108"/>
      <c r="I11" s="50">
        <v>3</v>
      </c>
      <c r="J11" s="50">
        <v>5</v>
      </c>
      <c r="K11" s="50">
        <v>4</v>
      </c>
      <c r="L11" s="109">
        <v>4</v>
      </c>
      <c r="M11" s="50">
        <v>2</v>
      </c>
      <c r="N11" s="50">
        <v>2</v>
      </c>
      <c r="O11" s="50"/>
      <c r="P11" s="50">
        <v>3</v>
      </c>
      <c r="Q11" s="50">
        <v>5</v>
      </c>
      <c r="R11" s="108">
        <v>4</v>
      </c>
      <c r="S11" s="50">
        <v>1</v>
      </c>
      <c r="T11" s="50"/>
      <c r="U11" s="50">
        <v>3</v>
      </c>
      <c r="V11" s="109">
        <v>5</v>
      </c>
      <c r="W11" s="50">
        <v>1</v>
      </c>
      <c r="X11" s="50"/>
      <c r="Y11" s="50"/>
      <c r="Z11" s="50"/>
      <c r="AA11" s="50"/>
      <c r="AB11" s="50"/>
      <c r="AC11" s="140">
        <f>SUM(B11:AB11)</f>
        <v>56</v>
      </c>
      <c r="AD11" s="2"/>
    </row>
    <row r="12" spans="1:30" ht="12.6" customHeight="1" x14ac:dyDescent="0.3">
      <c r="A12" s="51" t="s">
        <v>255</v>
      </c>
      <c r="B12" s="52">
        <f t="shared" ref="B12:G12" si="6">+B10*B11</f>
        <v>340</v>
      </c>
      <c r="C12" s="52">
        <f t="shared" si="6"/>
        <v>510</v>
      </c>
      <c r="D12" s="52">
        <f t="shared" si="6"/>
        <v>510</v>
      </c>
      <c r="E12" s="52">
        <f t="shared" si="6"/>
        <v>340</v>
      </c>
      <c r="F12" s="52">
        <f t="shared" si="6"/>
        <v>340</v>
      </c>
      <c r="G12" s="52">
        <f t="shared" si="6"/>
        <v>340</v>
      </c>
      <c r="H12" s="110"/>
      <c r="I12" s="52">
        <f t="shared" ref="I12:N12" si="7">+I10*I11</f>
        <v>510</v>
      </c>
      <c r="J12" s="52">
        <f t="shared" si="7"/>
        <v>850</v>
      </c>
      <c r="K12" s="52">
        <f t="shared" si="7"/>
        <v>680</v>
      </c>
      <c r="L12" s="111">
        <f t="shared" si="7"/>
        <v>680</v>
      </c>
      <c r="M12" s="52">
        <f t="shared" si="7"/>
        <v>340</v>
      </c>
      <c r="N12" s="52">
        <f t="shared" si="7"/>
        <v>340</v>
      </c>
      <c r="O12" s="52"/>
      <c r="P12" s="52">
        <f>+P10*P11</f>
        <v>510</v>
      </c>
      <c r="Q12" s="52">
        <f>+Q10*Q11</f>
        <v>850</v>
      </c>
      <c r="R12" s="110">
        <f>+R10*R11</f>
        <v>680</v>
      </c>
      <c r="S12" s="52">
        <f>+S10*S11</f>
        <v>170</v>
      </c>
      <c r="T12" s="52"/>
      <c r="U12" s="52">
        <f>+U10*U11</f>
        <v>510</v>
      </c>
      <c r="V12" s="111">
        <f>+V10*V11</f>
        <v>850</v>
      </c>
      <c r="W12" s="52">
        <f>+W10*W11</f>
        <v>170</v>
      </c>
      <c r="X12" s="52"/>
      <c r="Y12" s="52"/>
      <c r="Z12" s="52"/>
      <c r="AA12" s="52"/>
      <c r="AB12" s="52"/>
      <c r="AC12" s="54"/>
      <c r="AD12" s="2"/>
    </row>
    <row r="13" spans="1:30" ht="12.6" customHeight="1" x14ac:dyDescent="0.3">
      <c r="A13" s="51" t="s">
        <v>256</v>
      </c>
      <c r="B13" s="13">
        <f t="shared" ref="B13:G13" si="8">B9/B12</f>
        <v>1.2765294117647059</v>
      </c>
      <c r="C13" s="13">
        <f t="shared" si="8"/>
        <v>0.86868627450980396</v>
      </c>
      <c r="D13" s="13">
        <f t="shared" si="8"/>
        <v>0.76868627450980398</v>
      </c>
      <c r="E13" s="13">
        <f t="shared" si="8"/>
        <v>0.97064705882352931</v>
      </c>
      <c r="F13" s="13">
        <f t="shared" si="8"/>
        <v>0.93241176470588227</v>
      </c>
      <c r="G13" s="13">
        <f t="shared" si="8"/>
        <v>0.70005882352941184</v>
      </c>
      <c r="H13" s="112"/>
      <c r="I13" s="13">
        <f t="shared" ref="I13:N13" si="9">I9/I12</f>
        <v>0.9490784313725491</v>
      </c>
      <c r="J13" s="13">
        <f t="shared" si="9"/>
        <v>0.98005882352941187</v>
      </c>
      <c r="K13" s="13">
        <f t="shared" si="9"/>
        <v>0.95005882352941173</v>
      </c>
      <c r="L13" s="113">
        <f t="shared" si="9"/>
        <v>0.86329411764705877</v>
      </c>
      <c r="M13" s="13">
        <f t="shared" si="9"/>
        <v>1.2088823529411765</v>
      </c>
      <c r="N13" s="13">
        <f t="shared" si="9"/>
        <v>0.98535294117647054</v>
      </c>
      <c r="O13" s="13"/>
      <c r="P13" s="13">
        <f>P9/P12</f>
        <v>0.75103921568627452</v>
      </c>
      <c r="Q13" s="13">
        <f>Q9/Q12</f>
        <v>0.91300000000000003</v>
      </c>
      <c r="R13" s="112">
        <f>R9/R12</f>
        <v>0.87505882352941167</v>
      </c>
      <c r="S13" s="13">
        <f>S9/S12</f>
        <v>0.9235882352941176</v>
      </c>
      <c r="T13" s="13"/>
      <c r="U13" s="13">
        <f>U9/U12</f>
        <v>0.74711764705882355</v>
      </c>
      <c r="V13" s="113">
        <f>V9/V12</f>
        <v>0.83182352941176474</v>
      </c>
      <c r="W13" s="13">
        <f>W9/W12</f>
        <v>1.2706470588235295</v>
      </c>
      <c r="X13" s="13"/>
      <c r="Y13" s="13"/>
      <c r="Z13" s="13"/>
      <c r="AA13" s="13"/>
      <c r="AB13" s="13"/>
      <c r="AC13" s="54"/>
      <c r="AD13" s="2"/>
    </row>
    <row r="14" spans="1:30" ht="12.6" customHeight="1" x14ac:dyDescent="0.3">
      <c r="A14" s="51" t="s">
        <v>257</v>
      </c>
      <c r="B14" s="5" t="str">
        <f t="shared" ref="B14:G14" si="10">IF(B13&lt;1,"OK","ＮＧ")</f>
        <v>ＮＧ</v>
      </c>
      <c r="C14" s="5" t="str">
        <f t="shared" si="10"/>
        <v>OK</v>
      </c>
      <c r="D14" s="5" t="str">
        <f t="shared" si="10"/>
        <v>OK</v>
      </c>
      <c r="E14" s="5" t="str">
        <f t="shared" si="10"/>
        <v>OK</v>
      </c>
      <c r="F14" s="5" t="str">
        <f t="shared" si="10"/>
        <v>OK</v>
      </c>
      <c r="G14" s="5" t="str">
        <f t="shared" si="10"/>
        <v>OK</v>
      </c>
      <c r="H14" s="114"/>
      <c r="I14" s="5" t="str">
        <f t="shared" ref="I14:N14" si="11">IF(I13&lt;1,"OK","ＮＧ")</f>
        <v>OK</v>
      </c>
      <c r="J14" s="5" t="str">
        <f t="shared" si="11"/>
        <v>OK</v>
      </c>
      <c r="K14" s="5" t="str">
        <f t="shared" si="11"/>
        <v>OK</v>
      </c>
      <c r="L14" s="115" t="str">
        <f t="shared" si="11"/>
        <v>OK</v>
      </c>
      <c r="M14" s="5" t="str">
        <f t="shared" si="11"/>
        <v>ＮＧ</v>
      </c>
      <c r="N14" s="5" t="str">
        <f t="shared" si="11"/>
        <v>OK</v>
      </c>
      <c r="O14" s="5"/>
      <c r="P14" s="5" t="str">
        <f>IF(P13&lt;1,"OK","ＮＧ")</f>
        <v>OK</v>
      </c>
      <c r="Q14" s="5" t="str">
        <f>IF(Q13&lt;1,"OK","ＮＧ")</f>
        <v>OK</v>
      </c>
      <c r="R14" s="114" t="str">
        <f>IF(R13&lt;1,"OK","ＮＧ")</f>
        <v>OK</v>
      </c>
      <c r="S14" s="5" t="str">
        <f>IF(S13&lt;1,"OK","ＮＧ")</f>
        <v>OK</v>
      </c>
      <c r="T14" s="5"/>
      <c r="U14" s="5" t="str">
        <f>IF(U13&lt;1,"OK","ＮＧ")</f>
        <v>OK</v>
      </c>
      <c r="V14" s="115" t="str">
        <f>IF(V13&lt;1,"OK","ＮＧ")</f>
        <v>OK</v>
      </c>
      <c r="W14" s="5" t="str">
        <f>IF(W13&lt;1,"OK","ＮＧ")</f>
        <v>ＮＧ</v>
      </c>
      <c r="X14" s="5"/>
      <c r="Y14" s="5"/>
      <c r="Z14" s="5"/>
      <c r="AA14" s="5"/>
      <c r="AB14" s="5"/>
      <c r="AC14" s="54"/>
      <c r="AD14" s="2"/>
    </row>
    <row r="15" spans="1:30" ht="12.6" customHeight="1" x14ac:dyDescent="0.3">
      <c r="A15" s="55" t="s">
        <v>258</v>
      </c>
      <c r="B15" s="56"/>
      <c r="C15" s="56"/>
      <c r="D15" s="56"/>
      <c r="E15" s="56"/>
      <c r="F15" s="56"/>
      <c r="G15" s="56"/>
      <c r="H15" s="134"/>
      <c r="I15" s="11"/>
      <c r="J15" s="11"/>
      <c r="K15" s="11"/>
      <c r="L15" s="117"/>
      <c r="M15" s="11"/>
      <c r="N15" s="11"/>
      <c r="O15" s="11"/>
      <c r="P15" s="11"/>
      <c r="Q15" s="11"/>
      <c r="R15" s="116"/>
      <c r="S15" s="11"/>
      <c r="T15" s="11"/>
      <c r="U15" s="11"/>
      <c r="V15" s="117"/>
      <c r="W15" s="11"/>
      <c r="X15" s="11"/>
      <c r="Y15" s="11"/>
      <c r="Z15" s="11"/>
      <c r="AA15" s="11"/>
      <c r="AB15" s="11"/>
      <c r="AC15" s="141"/>
      <c r="AD15" s="2"/>
    </row>
    <row r="16" spans="1:30" ht="12.6" customHeight="1" x14ac:dyDescent="0.3">
      <c r="A16" s="2" t="s">
        <v>259</v>
      </c>
      <c r="B16" s="4"/>
      <c r="C16" s="4"/>
      <c r="D16" s="4"/>
      <c r="E16" s="4"/>
      <c r="F16" s="4"/>
      <c r="G16" s="4"/>
      <c r="H16" s="118"/>
      <c r="I16" s="4"/>
      <c r="J16" s="4"/>
      <c r="K16" s="4"/>
      <c r="L16" s="119"/>
      <c r="M16" s="4"/>
      <c r="N16" s="4"/>
      <c r="O16" s="4"/>
      <c r="P16" s="4"/>
      <c r="Q16" s="4"/>
      <c r="R16" s="118"/>
      <c r="S16" s="4"/>
      <c r="T16" s="4"/>
      <c r="U16" s="4"/>
      <c r="V16" s="119"/>
      <c r="AC16" s="57"/>
      <c r="AD16" s="2"/>
    </row>
    <row r="17" spans="1:30" ht="12.6" customHeight="1" x14ac:dyDescent="0.3">
      <c r="A17" s="58"/>
      <c r="B17" s="39" t="str">
        <f t="shared" ref="B17:G18" si="12">+B4</f>
        <v>Y0-X0</v>
      </c>
      <c r="C17" s="40" t="str">
        <f t="shared" si="12"/>
        <v>Y0-X1</v>
      </c>
      <c r="D17" s="40" t="str">
        <f t="shared" si="12"/>
        <v>Y0-X2</v>
      </c>
      <c r="E17" s="40" t="str">
        <f t="shared" si="12"/>
        <v>Y0-X3</v>
      </c>
      <c r="F17" s="40" t="str">
        <f t="shared" si="12"/>
        <v>Y0-X4</v>
      </c>
      <c r="G17" s="40" t="str">
        <f t="shared" si="12"/>
        <v>Y0-X5</v>
      </c>
      <c r="H17" s="102"/>
      <c r="I17" s="40" t="str">
        <f t="shared" ref="I17:N18" si="13">+I4</f>
        <v>Y1-X0</v>
      </c>
      <c r="J17" s="40" t="str">
        <f t="shared" si="13"/>
        <v>Y1-X1</v>
      </c>
      <c r="K17" s="40" t="str">
        <f t="shared" si="13"/>
        <v>Y1-X2</v>
      </c>
      <c r="L17" s="103" t="str">
        <f t="shared" si="13"/>
        <v>Y1-X3</v>
      </c>
      <c r="M17" s="40" t="str">
        <f t="shared" si="13"/>
        <v>Y1-X4</v>
      </c>
      <c r="N17" s="40" t="str">
        <f t="shared" si="13"/>
        <v>Y1-X5</v>
      </c>
      <c r="O17" s="40"/>
      <c r="P17" s="40" t="str">
        <f t="shared" ref="P17:S18" si="14">+P4</f>
        <v>Y2-X0</v>
      </c>
      <c r="Q17" s="40" t="str">
        <f t="shared" si="14"/>
        <v>Y2-X1</v>
      </c>
      <c r="R17" s="102" t="str">
        <f t="shared" si="14"/>
        <v>Y2-X2</v>
      </c>
      <c r="S17" s="40" t="str">
        <f t="shared" si="14"/>
        <v>Y2-X3</v>
      </c>
      <c r="T17" s="40"/>
      <c r="U17" s="40" t="str">
        <f t="shared" ref="U17:W18" si="15">+U4</f>
        <v>Y3-X0</v>
      </c>
      <c r="V17" s="103" t="str">
        <f t="shared" si="15"/>
        <v>Y3-X1</v>
      </c>
      <c r="W17" s="40" t="str">
        <f t="shared" si="15"/>
        <v>Y3-X2</v>
      </c>
      <c r="X17" s="40"/>
      <c r="Y17" s="40"/>
      <c r="Z17" s="40"/>
      <c r="AA17" s="40"/>
      <c r="AB17" s="14"/>
      <c r="AC17" s="59" t="s">
        <v>250</v>
      </c>
      <c r="AD17" s="2"/>
    </row>
    <row r="18" spans="1:30" ht="12.6" customHeight="1" x14ac:dyDescent="0.3">
      <c r="A18" s="60" t="s">
        <v>548</v>
      </c>
      <c r="B18" s="61">
        <f t="shared" si="12"/>
        <v>400</v>
      </c>
      <c r="C18" s="62">
        <f t="shared" si="12"/>
        <v>392</v>
      </c>
      <c r="D18" s="62">
        <f t="shared" si="12"/>
        <v>341</v>
      </c>
      <c r="E18" s="62">
        <f t="shared" si="12"/>
        <v>296</v>
      </c>
      <c r="F18" s="62">
        <f t="shared" si="12"/>
        <v>283</v>
      </c>
      <c r="G18" s="62">
        <f t="shared" si="12"/>
        <v>204</v>
      </c>
      <c r="H18" s="120"/>
      <c r="I18" s="62">
        <f t="shared" si="13"/>
        <v>433</v>
      </c>
      <c r="J18" s="62">
        <f t="shared" si="13"/>
        <v>748</v>
      </c>
      <c r="K18" s="62">
        <f t="shared" si="13"/>
        <v>578</v>
      </c>
      <c r="L18" s="121">
        <f t="shared" si="13"/>
        <v>519</v>
      </c>
      <c r="M18" s="62">
        <f t="shared" si="13"/>
        <v>377</v>
      </c>
      <c r="N18" s="62">
        <f t="shared" si="13"/>
        <v>301</v>
      </c>
      <c r="O18" s="62"/>
      <c r="P18" s="62">
        <f t="shared" si="14"/>
        <v>332</v>
      </c>
      <c r="Q18" s="62">
        <f t="shared" si="14"/>
        <v>691</v>
      </c>
      <c r="R18" s="120">
        <f t="shared" si="14"/>
        <v>527</v>
      </c>
      <c r="S18" s="62">
        <f t="shared" si="14"/>
        <v>140</v>
      </c>
      <c r="T18" s="62"/>
      <c r="U18" s="62">
        <f t="shared" si="15"/>
        <v>330</v>
      </c>
      <c r="V18" s="121">
        <f t="shared" si="15"/>
        <v>622</v>
      </c>
      <c r="W18" s="62">
        <f t="shared" si="15"/>
        <v>199</v>
      </c>
      <c r="X18" s="62"/>
      <c r="Y18" s="62"/>
      <c r="Z18" s="62"/>
      <c r="AA18" s="62"/>
      <c r="AB18" s="63"/>
      <c r="AC18" s="42"/>
      <c r="AD18" s="2"/>
    </row>
    <row r="19" spans="1:30" ht="12.6" customHeight="1" x14ac:dyDescent="0.3">
      <c r="A19" s="43" t="s">
        <v>551</v>
      </c>
      <c r="B19" s="64">
        <v>2</v>
      </c>
      <c r="C19" s="99">
        <v>3</v>
      </c>
      <c r="D19" s="99">
        <v>3</v>
      </c>
      <c r="E19" s="99">
        <v>3</v>
      </c>
      <c r="F19" s="99">
        <v>7</v>
      </c>
      <c r="G19" s="99">
        <v>8</v>
      </c>
      <c r="H19" s="122"/>
      <c r="I19" s="99">
        <v>94</v>
      </c>
      <c r="J19" s="99">
        <v>88</v>
      </c>
      <c r="K19" s="99">
        <v>2</v>
      </c>
      <c r="L19" s="123">
        <v>11</v>
      </c>
      <c r="M19" s="99">
        <v>0</v>
      </c>
      <c r="N19" s="99">
        <v>16</v>
      </c>
      <c r="O19" s="99"/>
      <c r="P19" s="99">
        <v>4</v>
      </c>
      <c r="Q19" s="99">
        <v>8</v>
      </c>
      <c r="R19" s="122">
        <v>7</v>
      </c>
      <c r="S19" s="99">
        <v>26</v>
      </c>
      <c r="T19" s="99"/>
      <c r="U19" s="99">
        <v>17</v>
      </c>
      <c r="V19" s="123">
        <v>67</v>
      </c>
      <c r="W19" s="99">
        <v>71</v>
      </c>
      <c r="X19" s="99"/>
      <c r="Y19" s="99"/>
      <c r="Z19" s="99"/>
      <c r="AA19" s="99"/>
      <c r="AB19" s="65"/>
      <c r="AC19" s="45"/>
      <c r="AD19" s="2"/>
    </row>
    <row r="20" spans="1:30" ht="12.6" customHeight="1" x14ac:dyDescent="0.3">
      <c r="A20" s="43" t="s">
        <v>552</v>
      </c>
      <c r="B20" s="66">
        <v>19</v>
      </c>
      <c r="C20" s="67">
        <v>13</v>
      </c>
      <c r="D20" s="67">
        <v>15</v>
      </c>
      <c r="E20" s="67">
        <v>9</v>
      </c>
      <c r="F20" s="67">
        <v>15</v>
      </c>
      <c r="G20" s="67">
        <v>13</v>
      </c>
      <c r="H20" s="124"/>
      <c r="I20" s="67">
        <v>5</v>
      </c>
      <c r="J20" s="67">
        <v>11</v>
      </c>
      <c r="K20" s="67">
        <v>6</v>
      </c>
      <c r="L20" s="125">
        <v>70</v>
      </c>
      <c r="M20" s="67">
        <v>14</v>
      </c>
      <c r="N20" s="67">
        <v>14</v>
      </c>
      <c r="O20" s="67"/>
      <c r="P20" s="67">
        <v>28</v>
      </c>
      <c r="Q20" s="67">
        <v>50</v>
      </c>
      <c r="R20" s="124">
        <v>73</v>
      </c>
      <c r="S20" s="67">
        <v>80</v>
      </c>
      <c r="T20" s="67"/>
      <c r="U20" s="67">
        <v>49</v>
      </c>
      <c r="V20" s="125">
        <v>62</v>
      </c>
      <c r="W20" s="67">
        <v>75</v>
      </c>
      <c r="X20" s="67"/>
      <c r="Y20" s="67"/>
      <c r="Z20" s="67"/>
      <c r="AA20" s="67"/>
      <c r="AB20" s="46"/>
      <c r="AC20" s="45"/>
      <c r="AD20" s="2"/>
    </row>
    <row r="21" spans="1:30" ht="12.6" customHeight="1" x14ac:dyDescent="0.3">
      <c r="A21" s="51" t="s">
        <v>553</v>
      </c>
      <c r="B21" s="69">
        <f t="shared" ref="B21:G21" si="16">MAX(B19,B20)</f>
        <v>19</v>
      </c>
      <c r="C21" s="70">
        <f t="shared" si="16"/>
        <v>13</v>
      </c>
      <c r="D21" s="70">
        <f t="shared" si="16"/>
        <v>15</v>
      </c>
      <c r="E21" s="70">
        <f t="shared" si="16"/>
        <v>9</v>
      </c>
      <c r="F21" s="70">
        <f t="shared" si="16"/>
        <v>15</v>
      </c>
      <c r="G21" s="70">
        <f t="shared" si="16"/>
        <v>13</v>
      </c>
      <c r="H21" s="126"/>
      <c r="I21" s="70">
        <f t="shared" ref="I21:N21" si="17">MAX(I19,I20)</f>
        <v>94</v>
      </c>
      <c r="J21" s="70">
        <f t="shared" si="17"/>
        <v>88</v>
      </c>
      <c r="K21" s="70">
        <f t="shared" si="17"/>
        <v>6</v>
      </c>
      <c r="L21" s="127">
        <f t="shared" si="17"/>
        <v>70</v>
      </c>
      <c r="M21" s="70">
        <f t="shared" si="17"/>
        <v>14</v>
      </c>
      <c r="N21" s="70">
        <f t="shared" si="17"/>
        <v>16</v>
      </c>
      <c r="O21" s="70"/>
      <c r="P21" s="70">
        <f>MAX(P19,P20)</f>
        <v>28</v>
      </c>
      <c r="Q21" s="70">
        <f>MAX(Q19,Q20)</f>
        <v>50</v>
      </c>
      <c r="R21" s="126">
        <f>MAX(R19,R20)</f>
        <v>73</v>
      </c>
      <c r="S21" s="70">
        <f>MAX(S19,S20)</f>
        <v>80</v>
      </c>
      <c r="T21" s="70"/>
      <c r="U21" s="70">
        <f>MAX(U19,U20)</f>
        <v>49</v>
      </c>
      <c r="V21" s="127">
        <f>MAX(V19,V20)</f>
        <v>67</v>
      </c>
      <c r="W21" s="70">
        <f>MAX(W19,W20)</f>
        <v>75</v>
      </c>
      <c r="X21" s="70"/>
      <c r="Y21" s="70"/>
      <c r="Z21" s="70"/>
      <c r="AA21" s="70"/>
      <c r="AB21" s="71"/>
      <c r="AC21" s="45"/>
      <c r="AD21" s="2"/>
    </row>
    <row r="22" spans="1:30" ht="12.6" customHeight="1" x14ac:dyDescent="0.3">
      <c r="A22" s="51" t="s">
        <v>554</v>
      </c>
      <c r="B22" s="72">
        <f t="shared" ref="B22:G22" si="18">+B21+B18</f>
        <v>419</v>
      </c>
      <c r="C22" s="52">
        <f t="shared" si="18"/>
        <v>405</v>
      </c>
      <c r="D22" s="52">
        <f t="shared" si="18"/>
        <v>356</v>
      </c>
      <c r="E22" s="52">
        <f t="shared" si="18"/>
        <v>305</v>
      </c>
      <c r="F22" s="52">
        <f t="shared" si="18"/>
        <v>298</v>
      </c>
      <c r="G22" s="52">
        <f t="shared" si="18"/>
        <v>217</v>
      </c>
      <c r="H22" s="110"/>
      <c r="I22" s="52">
        <f t="shared" ref="I22:N22" si="19">+I21+I18</f>
        <v>527</v>
      </c>
      <c r="J22" s="52">
        <f t="shared" si="19"/>
        <v>836</v>
      </c>
      <c r="K22" s="52">
        <f t="shared" si="19"/>
        <v>584</v>
      </c>
      <c r="L22" s="111">
        <f t="shared" si="19"/>
        <v>589</v>
      </c>
      <c r="M22" s="52">
        <f t="shared" si="19"/>
        <v>391</v>
      </c>
      <c r="N22" s="52">
        <f t="shared" si="19"/>
        <v>317</v>
      </c>
      <c r="O22" s="52"/>
      <c r="P22" s="52">
        <f>+P21+P18</f>
        <v>360</v>
      </c>
      <c r="Q22" s="52">
        <f>+Q21+Q18</f>
        <v>741</v>
      </c>
      <c r="R22" s="110">
        <f>+R21+R18</f>
        <v>600</v>
      </c>
      <c r="S22" s="52">
        <f>+S21+S18</f>
        <v>220</v>
      </c>
      <c r="T22" s="52"/>
      <c r="U22" s="52">
        <f>+U21+U18</f>
        <v>379</v>
      </c>
      <c r="V22" s="111">
        <f>+V21+V18</f>
        <v>689</v>
      </c>
      <c r="W22" s="52">
        <f>+W21+W18</f>
        <v>274</v>
      </c>
      <c r="X22" s="52"/>
      <c r="Y22" s="52"/>
      <c r="Z22" s="52"/>
      <c r="AA22" s="52"/>
      <c r="AB22" s="53"/>
      <c r="AC22" s="45">
        <f>SUM(B22:AB22)</f>
        <v>8507</v>
      </c>
      <c r="AD22" s="2"/>
    </row>
    <row r="23" spans="1:30" ht="12.6" customHeight="1" x14ac:dyDescent="0.3">
      <c r="A23" s="51" t="s">
        <v>549</v>
      </c>
      <c r="B23" s="73">
        <f t="shared" ref="B23:G24" si="20">+B6</f>
        <v>1.62</v>
      </c>
      <c r="C23" s="74">
        <f t="shared" si="20"/>
        <v>2.4300000000000002</v>
      </c>
      <c r="D23" s="74">
        <f t="shared" si="20"/>
        <v>2.4300000000000002</v>
      </c>
      <c r="E23" s="74">
        <f t="shared" si="20"/>
        <v>1.62</v>
      </c>
      <c r="F23" s="74">
        <f t="shared" si="20"/>
        <v>1.62</v>
      </c>
      <c r="G23" s="74">
        <f t="shared" si="20"/>
        <v>1.62</v>
      </c>
      <c r="H23" s="128"/>
      <c r="I23" s="74">
        <f t="shared" ref="I23:N24" si="21">+I6</f>
        <v>2.4300000000000002</v>
      </c>
      <c r="J23" s="74">
        <f t="shared" si="21"/>
        <v>4.0500000000000007</v>
      </c>
      <c r="K23" s="74">
        <f t="shared" si="21"/>
        <v>3.24</v>
      </c>
      <c r="L23" s="129">
        <f t="shared" si="21"/>
        <v>3.24</v>
      </c>
      <c r="M23" s="74">
        <f t="shared" si="21"/>
        <v>1.62</v>
      </c>
      <c r="N23" s="74">
        <f t="shared" si="21"/>
        <v>1.62</v>
      </c>
      <c r="O23" s="74"/>
      <c r="P23" s="74">
        <f t="shared" ref="P23:S24" si="22">+P6</f>
        <v>2.4300000000000002</v>
      </c>
      <c r="Q23" s="74">
        <f t="shared" si="22"/>
        <v>4.0500000000000007</v>
      </c>
      <c r="R23" s="128">
        <f t="shared" si="22"/>
        <v>3.24</v>
      </c>
      <c r="S23" s="74">
        <f t="shared" si="22"/>
        <v>0.81</v>
      </c>
      <c r="T23" s="74"/>
      <c r="U23" s="74">
        <f t="shared" ref="U23:W24" si="23">+U6</f>
        <v>2.4300000000000002</v>
      </c>
      <c r="V23" s="129">
        <f t="shared" si="23"/>
        <v>4.0500000000000007</v>
      </c>
      <c r="W23" s="74">
        <f t="shared" si="23"/>
        <v>0.81</v>
      </c>
      <c r="X23" s="74"/>
      <c r="Y23" s="74"/>
      <c r="Z23" s="74"/>
      <c r="AA23" s="74"/>
      <c r="AB23" s="74"/>
      <c r="AC23" s="45"/>
      <c r="AD23" s="2"/>
    </row>
    <row r="24" spans="1:30" ht="12.6" customHeight="1" x14ac:dyDescent="0.3">
      <c r="A24" s="51" t="s">
        <v>550</v>
      </c>
      <c r="B24" s="75">
        <f t="shared" si="20"/>
        <v>1.05</v>
      </c>
      <c r="C24" s="53">
        <f t="shared" si="20"/>
        <v>1.05</v>
      </c>
      <c r="D24" s="53">
        <f t="shared" si="20"/>
        <v>1.05</v>
      </c>
      <c r="E24" s="53">
        <f t="shared" si="20"/>
        <v>1.05</v>
      </c>
      <c r="F24" s="53">
        <f t="shared" si="20"/>
        <v>1.05</v>
      </c>
      <c r="G24" s="53">
        <f t="shared" si="20"/>
        <v>1.05</v>
      </c>
      <c r="H24" s="130"/>
      <c r="I24" s="53">
        <f t="shared" si="21"/>
        <v>1.05</v>
      </c>
      <c r="J24" s="53">
        <f t="shared" si="21"/>
        <v>1.05</v>
      </c>
      <c r="K24" s="53">
        <f t="shared" si="21"/>
        <v>1.05</v>
      </c>
      <c r="L24" s="131">
        <f t="shared" si="21"/>
        <v>1.05</v>
      </c>
      <c r="M24" s="53">
        <f t="shared" si="21"/>
        <v>1.05</v>
      </c>
      <c r="N24" s="53">
        <f t="shared" si="21"/>
        <v>1.05</v>
      </c>
      <c r="O24" s="53"/>
      <c r="P24" s="53">
        <f t="shared" si="22"/>
        <v>1.05</v>
      </c>
      <c r="Q24" s="53">
        <f t="shared" si="22"/>
        <v>1.05</v>
      </c>
      <c r="R24" s="130">
        <f t="shared" si="22"/>
        <v>1.05</v>
      </c>
      <c r="S24" s="53">
        <f t="shared" si="22"/>
        <v>1.05</v>
      </c>
      <c r="T24" s="53"/>
      <c r="U24" s="53">
        <f t="shared" si="23"/>
        <v>1.05</v>
      </c>
      <c r="V24" s="131">
        <f t="shared" si="23"/>
        <v>1.05</v>
      </c>
      <c r="W24" s="53">
        <f t="shared" si="23"/>
        <v>1.05</v>
      </c>
      <c r="X24" s="53"/>
      <c r="Y24" s="53"/>
      <c r="Z24" s="53"/>
      <c r="AA24" s="53"/>
      <c r="AB24" s="53"/>
      <c r="AC24" s="45"/>
      <c r="AD24" s="2"/>
    </row>
    <row r="25" spans="1:30" ht="12.6" customHeight="1" x14ac:dyDescent="0.3">
      <c r="A25" s="51" t="s">
        <v>251</v>
      </c>
      <c r="B25" s="72">
        <f t="shared" ref="B25:G25" si="24">B23*B24*2*9.80665</f>
        <v>33.362223300000004</v>
      </c>
      <c r="C25" s="52">
        <f t="shared" si="24"/>
        <v>50.043334950000002</v>
      </c>
      <c r="D25" s="52">
        <f t="shared" si="24"/>
        <v>50.043334950000002</v>
      </c>
      <c r="E25" s="52">
        <f t="shared" si="24"/>
        <v>33.362223300000004</v>
      </c>
      <c r="F25" s="52">
        <f t="shared" si="24"/>
        <v>33.362223300000004</v>
      </c>
      <c r="G25" s="52">
        <f t="shared" si="24"/>
        <v>33.362223300000004</v>
      </c>
      <c r="H25" s="110"/>
      <c r="I25" s="52">
        <f t="shared" ref="I25:N25" si="25">I23*I24*2*9.80665</f>
        <v>50.043334950000002</v>
      </c>
      <c r="J25" s="52">
        <f t="shared" si="25"/>
        <v>83.405558250000027</v>
      </c>
      <c r="K25" s="52">
        <f t="shared" si="25"/>
        <v>66.724446600000007</v>
      </c>
      <c r="L25" s="111">
        <f t="shared" si="25"/>
        <v>66.724446600000007</v>
      </c>
      <c r="M25" s="52">
        <f t="shared" si="25"/>
        <v>33.362223300000004</v>
      </c>
      <c r="N25" s="52">
        <f t="shared" si="25"/>
        <v>33.362223300000004</v>
      </c>
      <c r="O25" s="52"/>
      <c r="P25" s="52">
        <f>P23*P24*2*9.80665</f>
        <v>50.043334950000002</v>
      </c>
      <c r="Q25" s="52">
        <f>Q23*Q24*2*9.80665</f>
        <v>83.405558250000027</v>
      </c>
      <c r="R25" s="110">
        <f>R23*R24*2*9.80665</f>
        <v>66.724446600000007</v>
      </c>
      <c r="S25" s="52">
        <f>S23*S24*2*9.80665</f>
        <v>16.681111650000002</v>
      </c>
      <c r="T25" s="52"/>
      <c r="U25" s="52">
        <f>U23*U24*2*9.80665</f>
        <v>50.043334950000002</v>
      </c>
      <c r="V25" s="111">
        <f>V23*V24*2*9.80665</f>
        <v>83.405558250000027</v>
      </c>
      <c r="W25" s="52">
        <f>W23*W24*2*9.80665</f>
        <v>16.681111650000002</v>
      </c>
      <c r="X25" s="52"/>
      <c r="Y25" s="52"/>
      <c r="Z25" s="52"/>
      <c r="AA25" s="52"/>
      <c r="AB25" s="53"/>
      <c r="AC25" s="45">
        <f>SUM(B25:AB25)</f>
        <v>934.14225240000019</v>
      </c>
      <c r="AD25" s="2"/>
    </row>
    <row r="26" spans="1:30" ht="12.6" customHeight="1" x14ac:dyDescent="0.3">
      <c r="A26" s="51" t="s">
        <v>252</v>
      </c>
      <c r="B26" s="72">
        <f t="shared" ref="B26:G26" si="26">B22+B25</f>
        <v>452.36222329999998</v>
      </c>
      <c r="C26" s="52">
        <f t="shared" si="26"/>
        <v>455.04333495000003</v>
      </c>
      <c r="D26" s="52">
        <f t="shared" si="26"/>
        <v>406.04333495000003</v>
      </c>
      <c r="E26" s="52">
        <f t="shared" si="26"/>
        <v>338.36222329999998</v>
      </c>
      <c r="F26" s="52">
        <f t="shared" si="26"/>
        <v>331.36222329999998</v>
      </c>
      <c r="G26" s="52">
        <f t="shared" si="26"/>
        <v>250.36222330000001</v>
      </c>
      <c r="H26" s="110"/>
      <c r="I26" s="52">
        <f t="shared" ref="I26:N26" si="27">I22+I25</f>
        <v>577.04333495000003</v>
      </c>
      <c r="J26" s="52">
        <f t="shared" si="27"/>
        <v>919.40555825000001</v>
      </c>
      <c r="K26" s="52">
        <f t="shared" si="27"/>
        <v>650.72444659999996</v>
      </c>
      <c r="L26" s="111">
        <f t="shared" si="27"/>
        <v>655.72444659999996</v>
      </c>
      <c r="M26" s="52">
        <f t="shared" si="27"/>
        <v>424.36222329999998</v>
      </c>
      <c r="N26" s="52">
        <f t="shared" si="27"/>
        <v>350.36222329999998</v>
      </c>
      <c r="O26" s="52"/>
      <c r="P26" s="52">
        <f>P22+P25</f>
        <v>410.04333495000003</v>
      </c>
      <c r="Q26" s="52">
        <f>Q22+Q25</f>
        <v>824.40555825000001</v>
      </c>
      <c r="R26" s="110">
        <f>R22+R25</f>
        <v>666.72444659999996</v>
      </c>
      <c r="S26" s="52">
        <f>S22+S25</f>
        <v>236.68111164999999</v>
      </c>
      <c r="T26" s="52"/>
      <c r="U26" s="52">
        <f>U22+U25</f>
        <v>429.04333495000003</v>
      </c>
      <c r="V26" s="111">
        <f>V22+V25</f>
        <v>772.40555825000001</v>
      </c>
      <c r="W26" s="52">
        <f>W22+W25</f>
        <v>290.68111164999999</v>
      </c>
      <c r="X26" s="52"/>
      <c r="Y26" s="52"/>
      <c r="Z26" s="52"/>
      <c r="AA26" s="52"/>
      <c r="AB26" s="53"/>
      <c r="AC26" s="45">
        <f>SUM(B26:AB26)</f>
        <v>9441.1422523999991</v>
      </c>
      <c r="AD26" s="2"/>
    </row>
    <row r="27" spans="1:30" ht="12.6" customHeight="1" x14ac:dyDescent="0.3">
      <c r="A27" s="51" t="s">
        <v>555</v>
      </c>
      <c r="B27" s="72">
        <f t="shared" ref="B27:G27" si="28">+B10*2</f>
        <v>340</v>
      </c>
      <c r="C27" s="52">
        <f t="shared" si="28"/>
        <v>340</v>
      </c>
      <c r="D27" s="52">
        <f t="shared" si="28"/>
        <v>340</v>
      </c>
      <c r="E27" s="52">
        <f t="shared" si="28"/>
        <v>340</v>
      </c>
      <c r="F27" s="52">
        <f t="shared" si="28"/>
        <v>340</v>
      </c>
      <c r="G27" s="52">
        <f t="shared" si="28"/>
        <v>340</v>
      </c>
      <c r="H27" s="110"/>
      <c r="I27" s="52">
        <f t="shared" ref="I27:N27" si="29">+I10*2</f>
        <v>340</v>
      </c>
      <c r="J27" s="52">
        <f t="shared" si="29"/>
        <v>340</v>
      </c>
      <c r="K27" s="52">
        <f t="shared" si="29"/>
        <v>340</v>
      </c>
      <c r="L27" s="111">
        <f t="shared" si="29"/>
        <v>340</v>
      </c>
      <c r="M27" s="52">
        <f t="shared" si="29"/>
        <v>340</v>
      </c>
      <c r="N27" s="52">
        <f t="shared" si="29"/>
        <v>340</v>
      </c>
      <c r="O27" s="52"/>
      <c r="P27" s="52">
        <f>+P10*2</f>
        <v>340</v>
      </c>
      <c r="Q27" s="52">
        <f>+Q10*2</f>
        <v>340</v>
      </c>
      <c r="R27" s="110">
        <f>+R10*2</f>
        <v>340</v>
      </c>
      <c r="S27" s="52">
        <f>+S10*2</f>
        <v>340</v>
      </c>
      <c r="T27" s="52"/>
      <c r="U27" s="52">
        <f>+U10*2</f>
        <v>340</v>
      </c>
      <c r="V27" s="111">
        <f>+V10*2</f>
        <v>340</v>
      </c>
      <c r="W27" s="52">
        <f>+W10*2</f>
        <v>340</v>
      </c>
      <c r="X27" s="52"/>
      <c r="Y27" s="52"/>
      <c r="Z27" s="52"/>
      <c r="AA27" s="52"/>
      <c r="AB27" s="53"/>
      <c r="AC27" s="45"/>
      <c r="AD27" s="2"/>
    </row>
    <row r="28" spans="1:30" ht="12.6" customHeight="1" x14ac:dyDescent="0.3">
      <c r="A28" s="76" t="s">
        <v>254</v>
      </c>
      <c r="B28" s="77">
        <f t="shared" ref="B28:G28" si="30">+B11</f>
        <v>2</v>
      </c>
      <c r="C28" s="78">
        <f t="shared" si="30"/>
        <v>3</v>
      </c>
      <c r="D28" s="78">
        <f t="shared" si="30"/>
        <v>3</v>
      </c>
      <c r="E28" s="78">
        <f t="shared" si="30"/>
        <v>2</v>
      </c>
      <c r="F28" s="78">
        <f t="shared" si="30"/>
        <v>2</v>
      </c>
      <c r="G28" s="78">
        <f t="shared" si="30"/>
        <v>2</v>
      </c>
      <c r="H28" s="132"/>
      <c r="I28" s="78">
        <f t="shared" ref="I28:N28" si="31">+I11</f>
        <v>3</v>
      </c>
      <c r="J28" s="78">
        <f t="shared" si="31"/>
        <v>5</v>
      </c>
      <c r="K28" s="78">
        <f t="shared" si="31"/>
        <v>4</v>
      </c>
      <c r="L28" s="133">
        <f t="shared" si="31"/>
        <v>4</v>
      </c>
      <c r="M28" s="78">
        <f t="shared" si="31"/>
        <v>2</v>
      </c>
      <c r="N28" s="78">
        <f t="shared" si="31"/>
        <v>2</v>
      </c>
      <c r="O28" s="78"/>
      <c r="P28" s="78">
        <f>+P11</f>
        <v>3</v>
      </c>
      <c r="Q28" s="78">
        <f>+Q11</f>
        <v>5</v>
      </c>
      <c r="R28" s="132">
        <f>+R11</f>
        <v>4</v>
      </c>
      <c r="S28" s="78">
        <f>+S11</f>
        <v>1</v>
      </c>
      <c r="T28" s="78"/>
      <c r="U28" s="78">
        <f>+U11</f>
        <v>3</v>
      </c>
      <c r="V28" s="133">
        <f>+V11</f>
        <v>5</v>
      </c>
      <c r="W28" s="78">
        <f>+W11</f>
        <v>1</v>
      </c>
      <c r="X28" s="78"/>
      <c r="Y28" s="78"/>
      <c r="Z28" s="78"/>
      <c r="AA28" s="78"/>
      <c r="AB28" s="78"/>
      <c r="AC28" s="45">
        <f>SUM(B28:AB28)</f>
        <v>56</v>
      </c>
      <c r="AD28" s="2"/>
    </row>
    <row r="29" spans="1:30" ht="12.6" customHeight="1" x14ac:dyDescent="0.3">
      <c r="A29" s="51" t="s">
        <v>556</v>
      </c>
      <c r="B29" s="72">
        <f t="shared" ref="B29:G29" si="32">+B27*B28</f>
        <v>680</v>
      </c>
      <c r="C29" s="52">
        <f t="shared" si="32"/>
        <v>1020</v>
      </c>
      <c r="D29" s="52">
        <f t="shared" si="32"/>
        <v>1020</v>
      </c>
      <c r="E29" s="52">
        <f t="shared" si="32"/>
        <v>680</v>
      </c>
      <c r="F29" s="52">
        <f t="shared" si="32"/>
        <v>680</v>
      </c>
      <c r="G29" s="52">
        <f t="shared" si="32"/>
        <v>680</v>
      </c>
      <c r="H29" s="110"/>
      <c r="I29" s="52">
        <f t="shared" ref="I29:N29" si="33">+I27*I28</f>
        <v>1020</v>
      </c>
      <c r="J29" s="52">
        <f t="shared" si="33"/>
        <v>1700</v>
      </c>
      <c r="K29" s="52">
        <f t="shared" si="33"/>
        <v>1360</v>
      </c>
      <c r="L29" s="111">
        <f t="shared" si="33"/>
        <v>1360</v>
      </c>
      <c r="M29" s="52">
        <f t="shared" si="33"/>
        <v>680</v>
      </c>
      <c r="N29" s="52">
        <f t="shared" si="33"/>
        <v>680</v>
      </c>
      <c r="O29" s="52"/>
      <c r="P29" s="52">
        <f>+P27*P28</f>
        <v>1020</v>
      </c>
      <c r="Q29" s="52">
        <f>+Q27*Q28</f>
        <v>1700</v>
      </c>
      <c r="R29" s="110">
        <f>+R27*R28</f>
        <v>1360</v>
      </c>
      <c r="S29" s="52">
        <f>+S27*S28</f>
        <v>340</v>
      </c>
      <c r="T29" s="52"/>
      <c r="U29" s="52">
        <f>+U27*U28</f>
        <v>1020</v>
      </c>
      <c r="V29" s="111">
        <f>+V27*V28</f>
        <v>1700</v>
      </c>
      <c r="W29" s="52">
        <f>+W27*W28</f>
        <v>340</v>
      </c>
      <c r="X29" s="52"/>
      <c r="Y29" s="52"/>
      <c r="Z29" s="52"/>
      <c r="AA29" s="52"/>
      <c r="AB29" s="53"/>
      <c r="AC29" s="45"/>
      <c r="AD29" s="2"/>
    </row>
    <row r="30" spans="1:30" ht="12.6" customHeight="1" x14ac:dyDescent="0.3">
      <c r="A30" s="51" t="s">
        <v>557</v>
      </c>
      <c r="B30" s="75">
        <f t="shared" ref="B30:G30" si="34">+B26/B29</f>
        <v>0.66523856367647061</v>
      </c>
      <c r="C30" s="53">
        <f t="shared" si="34"/>
        <v>0.44612091661764708</v>
      </c>
      <c r="D30" s="53">
        <f t="shared" si="34"/>
        <v>0.39808170093137257</v>
      </c>
      <c r="E30" s="53">
        <f t="shared" si="34"/>
        <v>0.49759150485294112</v>
      </c>
      <c r="F30" s="53">
        <f t="shared" si="34"/>
        <v>0.48729738720588234</v>
      </c>
      <c r="G30" s="53">
        <f t="shared" si="34"/>
        <v>0.36817974014705884</v>
      </c>
      <c r="H30" s="130"/>
      <c r="I30" s="53">
        <f t="shared" ref="I30:N30" si="35">+I26/I29</f>
        <v>0.565728759754902</v>
      </c>
      <c r="J30" s="53">
        <f t="shared" si="35"/>
        <v>0.54082679897058827</v>
      </c>
      <c r="K30" s="53">
        <f t="shared" si="35"/>
        <v>0.47847385779411761</v>
      </c>
      <c r="L30" s="131">
        <f t="shared" si="35"/>
        <v>0.48215032838235289</v>
      </c>
      <c r="M30" s="53">
        <f t="shared" si="35"/>
        <v>0.62406209308823524</v>
      </c>
      <c r="N30" s="53">
        <f t="shared" si="35"/>
        <v>0.51523856367647058</v>
      </c>
      <c r="O30" s="53"/>
      <c r="P30" s="53">
        <f>+P26/P29</f>
        <v>0.40200326955882354</v>
      </c>
      <c r="Q30" s="53">
        <f>+Q26/Q29</f>
        <v>0.48494444602941178</v>
      </c>
      <c r="R30" s="130">
        <f>+R26/R29</f>
        <v>0.49023856367647056</v>
      </c>
      <c r="S30" s="53">
        <f>+S26/S29</f>
        <v>0.69612091661764708</v>
      </c>
      <c r="T30" s="53"/>
      <c r="U30" s="53">
        <f>+U26/U29</f>
        <v>0.42063072053921574</v>
      </c>
      <c r="V30" s="131">
        <f>+V26/V29</f>
        <v>0.45435621073529414</v>
      </c>
      <c r="W30" s="53">
        <f>+W26/W29</f>
        <v>0.85494444602941178</v>
      </c>
      <c r="X30" s="53"/>
      <c r="Y30" s="53"/>
      <c r="Z30" s="53"/>
      <c r="AA30" s="53"/>
      <c r="AB30" s="53"/>
      <c r="AC30" s="45"/>
      <c r="AD30" s="2"/>
    </row>
    <row r="31" spans="1:30" ht="12.6" customHeight="1" x14ac:dyDescent="0.3">
      <c r="A31" s="51" t="s">
        <v>257</v>
      </c>
      <c r="B31" s="6" t="str">
        <f t="shared" ref="B31:G31" si="36">IF(B30&lt;1,"OK","ＮＧ")</f>
        <v>OK</v>
      </c>
      <c r="C31" s="5" t="str">
        <f t="shared" si="36"/>
        <v>OK</v>
      </c>
      <c r="D31" s="5" t="str">
        <f t="shared" si="36"/>
        <v>OK</v>
      </c>
      <c r="E31" s="5" t="str">
        <f t="shared" si="36"/>
        <v>OK</v>
      </c>
      <c r="F31" s="5" t="str">
        <f t="shared" si="36"/>
        <v>OK</v>
      </c>
      <c r="G31" s="5" t="str">
        <f t="shared" si="36"/>
        <v>OK</v>
      </c>
      <c r="H31" s="114"/>
      <c r="I31" s="5" t="str">
        <f t="shared" ref="I31:N31" si="37">IF(I30&lt;1,"OK","ＮＧ")</f>
        <v>OK</v>
      </c>
      <c r="J31" s="5" t="str">
        <f t="shared" si="37"/>
        <v>OK</v>
      </c>
      <c r="K31" s="5" t="str">
        <f t="shared" si="37"/>
        <v>OK</v>
      </c>
      <c r="L31" s="115" t="str">
        <f t="shared" si="37"/>
        <v>OK</v>
      </c>
      <c r="M31" s="5" t="str">
        <f t="shared" si="37"/>
        <v>OK</v>
      </c>
      <c r="N31" s="5" t="str">
        <f t="shared" si="37"/>
        <v>OK</v>
      </c>
      <c r="O31" s="5"/>
      <c r="P31" s="5" t="str">
        <f>IF(P30&lt;1,"OK","ＮＧ")</f>
        <v>OK</v>
      </c>
      <c r="Q31" s="5" t="str">
        <f>IF(Q30&lt;1,"OK","ＮＧ")</f>
        <v>OK</v>
      </c>
      <c r="R31" s="114" t="str">
        <f>IF(R30&lt;1,"OK","ＮＧ")</f>
        <v>OK</v>
      </c>
      <c r="S31" s="5" t="str">
        <f>IF(S30&lt;1,"OK","ＮＧ")</f>
        <v>OK</v>
      </c>
      <c r="T31" s="5"/>
      <c r="U31" s="5" t="str">
        <f>IF(U30&lt;1,"OK","ＮＧ")</f>
        <v>OK</v>
      </c>
      <c r="V31" s="115" t="str">
        <f>IF(V30&lt;1,"OK","ＮＧ")</f>
        <v>OK</v>
      </c>
      <c r="W31" s="5" t="str">
        <f>IF(W30&lt;1,"OK","ＮＧ")</f>
        <v>OK</v>
      </c>
      <c r="X31" s="5"/>
      <c r="Y31" s="5"/>
      <c r="Z31" s="5"/>
      <c r="AA31" s="5"/>
      <c r="AB31" s="5"/>
      <c r="AC31" s="45"/>
      <c r="AD31" s="2"/>
    </row>
    <row r="32" spans="1:30" ht="12.6" customHeight="1" x14ac:dyDescent="0.3">
      <c r="A32" s="79" t="s">
        <v>258</v>
      </c>
      <c r="B32" s="80"/>
      <c r="C32" s="5"/>
      <c r="D32" s="56"/>
      <c r="E32" s="56"/>
      <c r="F32" s="56"/>
      <c r="G32" s="56"/>
      <c r="H32" s="134"/>
      <c r="I32" s="56"/>
      <c r="J32" s="56"/>
      <c r="K32" s="56"/>
      <c r="L32" s="135"/>
      <c r="M32" s="56"/>
      <c r="N32" s="56"/>
      <c r="O32" s="56"/>
      <c r="P32" s="56"/>
      <c r="Q32" s="56"/>
      <c r="R32" s="134"/>
      <c r="S32" s="56"/>
      <c r="T32" s="56"/>
      <c r="U32" s="56"/>
      <c r="V32" s="135"/>
      <c r="W32" s="56"/>
      <c r="X32" s="56"/>
      <c r="Y32" s="56"/>
      <c r="Z32" s="56"/>
      <c r="AA32" s="56"/>
      <c r="AB32" s="11"/>
      <c r="AC32" s="45"/>
      <c r="AD32" s="2"/>
    </row>
    <row r="33" spans="1:30" ht="12.6" customHeight="1" x14ac:dyDescent="0.3">
      <c r="A33" s="81" t="s">
        <v>530</v>
      </c>
      <c r="B33" s="61">
        <f t="shared" ref="B33:G33" si="38">+B18+B21+B25</f>
        <v>452.36222329999998</v>
      </c>
      <c r="C33" s="62">
        <f t="shared" si="38"/>
        <v>455.04333495000003</v>
      </c>
      <c r="D33" s="62">
        <f t="shared" si="38"/>
        <v>406.04333495000003</v>
      </c>
      <c r="E33" s="62">
        <f t="shared" si="38"/>
        <v>338.36222329999998</v>
      </c>
      <c r="F33" s="62">
        <f t="shared" si="38"/>
        <v>331.36222329999998</v>
      </c>
      <c r="G33" s="62">
        <f t="shared" si="38"/>
        <v>250.36222330000001</v>
      </c>
      <c r="H33" s="120"/>
      <c r="I33" s="62">
        <f t="shared" ref="I33:N33" si="39">+I18+I21+I25</f>
        <v>577.04333495000003</v>
      </c>
      <c r="J33" s="62">
        <f t="shared" si="39"/>
        <v>919.40555825000001</v>
      </c>
      <c r="K33" s="62">
        <f t="shared" si="39"/>
        <v>650.72444659999996</v>
      </c>
      <c r="L33" s="121">
        <f t="shared" si="39"/>
        <v>655.72444659999996</v>
      </c>
      <c r="M33" s="62">
        <f t="shared" si="39"/>
        <v>424.36222329999998</v>
      </c>
      <c r="N33" s="62">
        <f t="shared" si="39"/>
        <v>350.36222329999998</v>
      </c>
      <c r="O33" s="62"/>
      <c r="P33" s="62">
        <f>+P18+P21+P25</f>
        <v>410.04333495000003</v>
      </c>
      <c r="Q33" s="62">
        <f>+Q18+Q21+Q25</f>
        <v>824.40555825000001</v>
      </c>
      <c r="R33" s="120">
        <f>+R18+R21+R25</f>
        <v>666.72444659999996</v>
      </c>
      <c r="S33" s="62">
        <f>+S18+S21+S25</f>
        <v>236.68111164999999</v>
      </c>
      <c r="T33" s="62"/>
      <c r="U33" s="62">
        <f>+U18+U21+U25</f>
        <v>429.04333495000003</v>
      </c>
      <c r="V33" s="121">
        <f>+V18+V21+V25</f>
        <v>772.40555825000001</v>
      </c>
      <c r="W33" s="62">
        <f>+W18+W21+W25</f>
        <v>290.68111164999999</v>
      </c>
      <c r="X33" s="62"/>
      <c r="Y33" s="62"/>
      <c r="Z33" s="62"/>
      <c r="AA33" s="62"/>
      <c r="AB33" s="62"/>
      <c r="AC33" s="82" t="s">
        <v>531</v>
      </c>
      <c r="AD33" s="2"/>
    </row>
    <row r="34" spans="1:30" ht="12.6" customHeight="1" x14ac:dyDescent="0.3">
      <c r="A34" s="81" t="s">
        <v>532</v>
      </c>
      <c r="B34" s="72">
        <f t="shared" ref="B34:G34" si="40">+B18-B21+B25</f>
        <v>414.36222329999998</v>
      </c>
      <c r="C34" s="52">
        <f t="shared" si="40"/>
        <v>429.04333495000003</v>
      </c>
      <c r="D34" s="52">
        <f t="shared" si="40"/>
        <v>376.04333495000003</v>
      </c>
      <c r="E34" s="52">
        <f t="shared" si="40"/>
        <v>320.36222329999998</v>
      </c>
      <c r="F34" s="52">
        <f t="shared" si="40"/>
        <v>301.36222329999998</v>
      </c>
      <c r="G34" s="52">
        <f t="shared" si="40"/>
        <v>224.36222330000001</v>
      </c>
      <c r="H34" s="110"/>
      <c r="I34" s="52">
        <f t="shared" ref="I34:N34" si="41">+I18-I21+I25</f>
        <v>389.04333495000003</v>
      </c>
      <c r="J34" s="52">
        <f t="shared" si="41"/>
        <v>743.40555825000001</v>
      </c>
      <c r="K34" s="52">
        <f t="shared" si="41"/>
        <v>638.72444659999996</v>
      </c>
      <c r="L34" s="111">
        <f t="shared" si="41"/>
        <v>515.72444659999996</v>
      </c>
      <c r="M34" s="52">
        <f t="shared" si="41"/>
        <v>396.36222329999998</v>
      </c>
      <c r="N34" s="52">
        <f t="shared" si="41"/>
        <v>318.36222329999998</v>
      </c>
      <c r="O34" s="52"/>
      <c r="P34" s="52">
        <f>+P18-P21+P25</f>
        <v>354.04333495000003</v>
      </c>
      <c r="Q34" s="52">
        <f>+Q18-Q21+Q25</f>
        <v>724.40555825000001</v>
      </c>
      <c r="R34" s="110">
        <f>+R18-R21+R25</f>
        <v>520.72444659999996</v>
      </c>
      <c r="S34" s="52">
        <f>+S18-S21+S25</f>
        <v>76.681111650000005</v>
      </c>
      <c r="T34" s="52"/>
      <c r="U34" s="52">
        <f>+U18-U21+U25</f>
        <v>331.04333495000003</v>
      </c>
      <c r="V34" s="111">
        <f>+V18-V21+V25</f>
        <v>638.40555825000001</v>
      </c>
      <c r="W34" s="52">
        <f>+W18-W21+W25</f>
        <v>140.68111164999999</v>
      </c>
      <c r="X34" s="52"/>
      <c r="Y34" s="52"/>
      <c r="Z34" s="52"/>
      <c r="AA34" s="52"/>
      <c r="AB34" s="52"/>
      <c r="AC34" s="54" t="s">
        <v>533</v>
      </c>
      <c r="AD34" s="2"/>
    </row>
    <row r="35" spans="1:30" ht="12.6" customHeight="1" x14ac:dyDescent="0.3">
      <c r="A35" s="81" t="s">
        <v>534</v>
      </c>
      <c r="B35" s="72">
        <f t="shared" ref="B35:G35" si="42">+B26/B28</f>
        <v>226.18111164999999</v>
      </c>
      <c r="C35" s="52">
        <f t="shared" si="42"/>
        <v>151.68111165000002</v>
      </c>
      <c r="D35" s="52">
        <f t="shared" si="42"/>
        <v>135.34777831666668</v>
      </c>
      <c r="E35" s="52">
        <f t="shared" si="42"/>
        <v>169.18111164999999</v>
      </c>
      <c r="F35" s="52">
        <f t="shared" si="42"/>
        <v>165.68111164999999</v>
      </c>
      <c r="G35" s="52">
        <f t="shared" si="42"/>
        <v>125.18111165000001</v>
      </c>
      <c r="H35" s="110"/>
      <c r="I35" s="52">
        <f t="shared" ref="I35:N35" si="43">+I26/I28</f>
        <v>192.34777831666668</v>
      </c>
      <c r="J35" s="52">
        <f t="shared" si="43"/>
        <v>183.88111165000001</v>
      </c>
      <c r="K35" s="52">
        <f t="shared" si="43"/>
        <v>162.68111164999999</v>
      </c>
      <c r="L35" s="111">
        <f t="shared" si="43"/>
        <v>163.93111164999999</v>
      </c>
      <c r="M35" s="52">
        <f t="shared" si="43"/>
        <v>212.18111164999999</v>
      </c>
      <c r="N35" s="52">
        <f t="shared" si="43"/>
        <v>175.18111164999999</v>
      </c>
      <c r="O35" s="52"/>
      <c r="P35" s="52">
        <f>+P26/P28</f>
        <v>136.68111165000002</v>
      </c>
      <c r="Q35" s="52">
        <f>+Q26/Q28</f>
        <v>164.88111165000001</v>
      </c>
      <c r="R35" s="110">
        <f>+R26/R28</f>
        <v>166.68111164999999</v>
      </c>
      <c r="S35" s="52">
        <f>+S26/S28</f>
        <v>236.68111164999999</v>
      </c>
      <c r="T35" s="52"/>
      <c r="U35" s="52">
        <f>+U26/U28</f>
        <v>143.01444498333333</v>
      </c>
      <c r="V35" s="111">
        <f>+V26/V28</f>
        <v>154.48111165</v>
      </c>
      <c r="W35" s="52">
        <f>+W26/W28</f>
        <v>290.68111164999999</v>
      </c>
      <c r="X35" s="52"/>
      <c r="Y35" s="52"/>
      <c r="Z35" s="52"/>
      <c r="AA35" s="52"/>
      <c r="AB35" s="52"/>
      <c r="AC35" s="83">
        <f>MAX(B35:AB35)</f>
        <v>290.68111164999999</v>
      </c>
      <c r="AD35" s="2"/>
    </row>
    <row r="36" spans="1:30" ht="12.6" customHeight="1" x14ac:dyDescent="0.3">
      <c r="A36" s="79" t="s">
        <v>535</v>
      </c>
      <c r="B36" s="84">
        <f t="shared" ref="B36:G36" si="44">+B34/B28</f>
        <v>207.18111164999999</v>
      </c>
      <c r="C36" s="85">
        <f t="shared" si="44"/>
        <v>143.01444498333333</v>
      </c>
      <c r="D36" s="85">
        <f t="shared" si="44"/>
        <v>125.34777831666668</v>
      </c>
      <c r="E36" s="85">
        <f t="shared" si="44"/>
        <v>160.18111164999999</v>
      </c>
      <c r="F36" s="85">
        <f t="shared" si="44"/>
        <v>150.68111164999999</v>
      </c>
      <c r="G36" s="85">
        <f t="shared" si="44"/>
        <v>112.18111165000001</v>
      </c>
      <c r="H36" s="136"/>
      <c r="I36" s="85">
        <f t="shared" ref="I36:N36" si="45">+I34/I28</f>
        <v>129.68111165000002</v>
      </c>
      <c r="J36" s="85">
        <f t="shared" si="45"/>
        <v>148.68111164999999</v>
      </c>
      <c r="K36" s="85">
        <f t="shared" si="45"/>
        <v>159.68111164999999</v>
      </c>
      <c r="L36" s="137">
        <f t="shared" si="45"/>
        <v>128.93111164999999</v>
      </c>
      <c r="M36" s="85">
        <f t="shared" si="45"/>
        <v>198.18111164999999</v>
      </c>
      <c r="N36" s="85">
        <f t="shared" si="45"/>
        <v>159.18111164999999</v>
      </c>
      <c r="O36" s="85"/>
      <c r="P36" s="85">
        <f>+P34/P28</f>
        <v>118.01444498333335</v>
      </c>
      <c r="Q36" s="85">
        <f>+Q34/Q28</f>
        <v>144.88111165000001</v>
      </c>
      <c r="R36" s="136">
        <f>+R34/R28</f>
        <v>130.18111164999999</v>
      </c>
      <c r="S36" s="85">
        <f>+S34/S28</f>
        <v>76.681111650000005</v>
      </c>
      <c r="T36" s="85"/>
      <c r="U36" s="85">
        <f>+U34/U28</f>
        <v>110.34777831666668</v>
      </c>
      <c r="V36" s="137">
        <f>+V34/V28</f>
        <v>127.68111165000001</v>
      </c>
      <c r="W36" s="85">
        <f>+W34/W28</f>
        <v>140.68111164999999</v>
      </c>
      <c r="X36" s="85"/>
      <c r="Y36" s="85"/>
      <c r="Z36" s="85"/>
      <c r="AA36" s="85"/>
      <c r="AB36" s="85"/>
      <c r="AC36" s="86">
        <f>MIN(B36:AB36)</f>
        <v>76.681111650000005</v>
      </c>
      <c r="AD36" s="2"/>
    </row>
    <row r="37" spans="1:30" ht="12.6" customHeight="1" x14ac:dyDescent="0.3">
      <c r="A37" s="18" t="s">
        <v>536</v>
      </c>
      <c r="B37" s="2" t="s">
        <v>260</v>
      </c>
      <c r="F37" s="18" t="s">
        <v>537</v>
      </c>
      <c r="G37" s="2" t="s">
        <v>261</v>
      </c>
      <c r="J37" s="18" t="s">
        <v>538</v>
      </c>
      <c r="K37" s="2" t="s">
        <v>262</v>
      </c>
      <c r="M37" s="4"/>
      <c r="N37" s="4"/>
      <c r="O37" s="87" t="s">
        <v>539</v>
      </c>
      <c r="P37" s="88" t="s">
        <v>540</v>
      </c>
      <c r="Q37" s="8"/>
    </row>
    <row r="38" spans="1:30" ht="12.6" customHeight="1" x14ac:dyDescent="0.3">
      <c r="A38" s="18" t="s">
        <v>541</v>
      </c>
      <c r="B38" s="2" t="s">
        <v>265</v>
      </c>
      <c r="F38" s="18" t="s">
        <v>542</v>
      </c>
      <c r="G38" s="2" t="s">
        <v>266</v>
      </c>
      <c r="J38" s="18" t="s">
        <v>543</v>
      </c>
      <c r="K38" s="2" t="s">
        <v>267</v>
      </c>
      <c r="O38" s="87" t="s">
        <v>544</v>
      </c>
      <c r="P38" s="88" t="s">
        <v>545</v>
      </c>
    </row>
    <row r="39" spans="1:30" ht="12.6" customHeight="1" x14ac:dyDescent="0.3">
      <c r="A39" s="18" t="s">
        <v>546</v>
      </c>
      <c r="B39" s="2" t="s">
        <v>270</v>
      </c>
      <c r="F39" s="18"/>
      <c r="J39" s="89" t="s">
        <v>547</v>
      </c>
      <c r="K39" s="2" t="s">
        <v>271</v>
      </c>
      <c r="N39" s="18"/>
    </row>
  </sheetData>
  <phoneticPr fontId="2"/>
  <pageMargins left="0.98425196850393704" right="0.39370078740157483" top="0.98425196850393704" bottom="0.78740157480314965" header="0.51181102362204722" footer="0.51181102362204722"/>
  <pageSetup paperSize="8" orientation="landscape" horizontalDpi="400" verticalDpi="400" r:id="rId1"/>
  <headerFooter alignWithMargins="0">
    <oddFooter>&amp;C&amp;1#&amp;"Calibri"&amp;10&amp;K000000Confidential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1:AA39"/>
  <sheetViews>
    <sheetView zoomScale="75" workbookViewId="0">
      <selection activeCell="G46" sqref="G46"/>
    </sheetView>
  </sheetViews>
  <sheetFormatPr defaultColWidth="9" defaultRowHeight="12.6" customHeight="1" x14ac:dyDescent="0.3"/>
  <cols>
    <col min="1" max="1" width="1.62890625" style="2" customWidth="1"/>
    <col min="2" max="2" width="11.62890625" style="2" customWidth="1"/>
    <col min="3" max="8" width="6.26171875" style="2" customWidth="1"/>
    <col min="9" max="9" width="1.62890625" style="2" customWidth="1"/>
    <col min="10" max="15" width="6.26171875" style="2" customWidth="1"/>
    <col min="16" max="16" width="1.62890625" style="2" customWidth="1"/>
    <col min="17" max="20" width="6.26171875" style="2" customWidth="1"/>
    <col min="21" max="21" width="1.62890625" style="2" customWidth="1"/>
    <col min="22" max="24" width="6.26171875" style="2" customWidth="1"/>
    <col min="25" max="25" width="1.62890625" style="2" customWidth="1"/>
    <col min="26" max="26" width="6.26171875" style="2" customWidth="1"/>
    <col min="27" max="27" width="6.26171875" style="37" customWidth="1"/>
    <col min="28" max="28" width="6.26171875" style="2" customWidth="1"/>
    <col min="29" max="16384" width="9" style="2"/>
  </cols>
  <sheetData>
    <row r="1" spans="2:27" ht="12.6" customHeight="1" x14ac:dyDescent="0.3">
      <c r="B1" s="2" t="s">
        <v>248</v>
      </c>
    </row>
    <row r="3" spans="2:27" ht="12.6" customHeight="1" x14ac:dyDescent="0.3">
      <c r="B3" s="2" t="s">
        <v>249</v>
      </c>
    </row>
    <row r="4" spans="2:27" ht="12.6" customHeight="1" x14ac:dyDescent="0.3">
      <c r="B4" s="38"/>
      <c r="C4" s="39" t="s">
        <v>509</v>
      </c>
      <c r="D4" s="40" t="s">
        <v>510</v>
      </c>
      <c r="E4" s="40" t="s">
        <v>503</v>
      </c>
      <c r="F4" s="40" t="s">
        <v>497</v>
      </c>
      <c r="G4" s="40" t="s">
        <v>498</v>
      </c>
      <c r="H4" s="40" t="s">
        <v>499</v>
      </c>
      <c r="I4" s="40"/>
      <c r="J4" s="40" t="s">
        <v>511</v>
      </c>
      <c r="K4" s="40" t="s">
        <v>504</v>
      </c>
      <c r="L4" s="40" t="s">
        <v>341</v>
      </c>
      <c r="M4" s="40" t="s">
        <v>56</v>
      </c>
      <c r="N4" s="40" t="s">
        <v>342</v>
      </c>
      <c r="O4" s="40" t="s">
        <v>343</v>
      </c>
      <c r="P4" s="40"/>
      <c r="Q4" s="40" t="s">
        <v>512</v>
      </c>
      <c r="R4" s="40" t="s">
        <v>505</v>
      </c>
      <c r="S4" s="40" t="s">
        <v>506</v>
      </c>
      <c r="T4" s="40" t="s">
        <v>344</v>
      </c>
      <c r="U4" s="40"/>
      <c r="V4" s="40" t="s">
        <v>513</v>
      </c>
      <c r="W4" s="40" t="s">
        <v>507</v>
      </c>
      <c r="X4" s="40" t="s">
        <v>508</v>
      </c>
      <c r="Y4" s="40"/>
      <c r="Z4" s="139" t="s">
        <v>250</v>
      </c>
      <c r="AA4" s="2"/>
    </row>
    <row r="5" spans="2:27" ht="12.6" customHeight="1" x14ac:dyDescent="0.3">
      <c r="B5" s="41" t="s">
        <v>514</v>
      </c>
      <c r="C5" s="100">
        <v>202</v>
      </c>
      <c r="D5" s="101">
        <v>377</v>
      </c>
      <c r="E5" s="100">
        <v>327</v>
      </c>
      <c r="F5" s="100">
        <v>308</v>
      </c>
      <c r="G5" s="100">
        <v>297</v>
      </c>
      <c r="H5" s="100">
        <v>220</v>
      </c>
      <c r="I5" s="100"/>
      <c r="J5" s="100">
        <v>432</v>
      </c>
      <c r="K5" s="100">
        <v>728</v>
      </c>
      <c r="L5" s="100">
        <v>558</v>
      </c>
      <c r="M5" s="67">
        <v>488</v>
      </c>
      <c r="N5" s="101">
        <v>280</v>
      </c>
      <c r="O5" s="101">
        <v>234</v>
      </c>
      <c r="P5" s="101"/>
      <c r="Q5" s="101">
        <v>325</v>
      </c>
      <c r="R5" s="101">
        <v>676</v>
      </c>
      <c r="S5" s="101">
        <v>514</v>
      </c>
      <c r="T5" s="101">
        <v>94</v>
      </c>
      <c r="U5" s="100"/>
      <c r="V5" s="100">
        <v>334</v>
      </c>
      <c r="W5" s="101">
        <v>628</v>
      </c>
      <c r="X5" s="101">
        <v>189</v>
      </c>
      <c r="Y5" s="68"/>
      <c r="Z5" s="42">
        <f>SUM(C5:Y5)</f>
        <v>7211</v>
      </c>
      <c r="AA5" s="2"/>
    </row>
    <row r="6" spans="2:27" ht="12.6" customHeight="1" x14ac:dyDescent="0.3">
      <c r="B6" s="43" t="s">
        <v>515</v>
      </c>
      <c r="C6" s="44">
        <f>0.81*C11</f>
        <v>1.62</v>
      </c>
      <c r="D6" s="44">
        <f>0.81*D11</f>
        <v>1.62</v>
      </c>
      <c r="E6" s="44">
        <f t="shared" ref="E6:X6" si="0">0.81*E11</f>
        <v>1.62</v>
      </c>
      <c r="F6" s="44">
        <f t="shared" si="0"/>
        <v>1.62</v>
      </c>
      <c r="G6" s="44">
        <f t="shared" si="0"/>
        <v>1.62</v>
      </c>
      <c r="H6" s="44">
        <f t="shared" si="0"/>
        <v>1.62</v>
      </c>
      <c r="I6" s="44"/>
      <c r="J6" s="44">
        <f t="shared" si="0"/>
        <v>2.4300000000000002</v>
      </c>
      <c r="K6" s="44">
        <f t="shared" si="0"/>
        <v>3.24</v>
      </c>
      <c r="L6" s="44">
        <f t="shared" si="0"/>
        <v>2.4300000000000002</v>
      </c>
      <c r="M6" s="44">
        <f t="shared" si="0"/>
        <v>2.4300000000000002</v>
      </c>
      <c r="N6" s="44">
        <f t="shared" si="0"/>
        <v>1.62</v>
      </c>
      <c r="O6" s="44">
        <f t="shared" si="0"/>
        <v>1.62</v>
      </c>
      <c r="P6" s="44"/>
      <c r="Q6" s="44">
        <f t="shared" si="0"/>
        <v>1.62</v>
      </c>
      <c r="R6" s="44">
        <f t="shared" si="0"/>
        <v>3.24</v>
      </c>
      <c r="S6" s="44">
        <f t="shared" si="0"/>
        <v>2.4300000000000002</v>
      </c>
      <c r="T6" s="44">
        <f t="shared" si="0"/>
        <v>1.62</v>
      </c>
      <c r="U6" s="44"/>
      <c r="V6" s="44">
        <f t="shared" si="0"/>
        <v>1.62</v>
      </c>
      <c r="W6" s="44">
        <f t="shared" si="0"/>
        <v>3.24</v>
      </c>
      <c r="X6" s="44">
        <f t="shared" si="0"/>
        <v>1.62</v>
      </c>
      <c r="Y6" s="44"/>
      <c r="Z6" s="45"/>
      <c r="AA6" s="2"/>
    </row>
    <row r="7" spans="2:27" ht="12.6" customHeight="1" x14ac:dyDescent="0.3">
      <c r="B7" s="43" t="s">
        <v>516</v>
      </c>
      <c r="C7" s="46">
        <v>0.95</v>
      </c>
      <c r="D7" s="46">
        <v>0.95</v>
      </c>
      <c r="E7" s="46">
        <v>0.95</v>
      </c>
      <c r="F7" s="46">
        <v>0.95</v>
      </c>
      <c r="G7" s="46">
        <v>0.95</v>
      </c>
      <c r="H7" s="46">
        <v>0.95</v>
      </c>
      <c r="I7" s="46"/>
      <c r="J7" s="46">
        <v>0.95</v>
      </c>
      <c r="K7" s="46">
        <v>0.95</v>
      </c>
      <c r="L7" s="46">
        <v>0.95</v>
      </c>
      <c r="M7" s="46">
        <v>0.95</v>
      </c>
      <c r="N7" s="46">
        <v>0.95</v>
      </c>
      <c r="O7" s="46">
        <v>0.95</v>
      </c>
      <c r="P7" s="46"/>
      <c r="Q7" s="46">
        <v>0.95</v>
      </c>
      <c r="R7" s="46">
        <v>0.95</v>
      </c>
      <c r="S7" s="46">
        <v>0.95</v>
      </c>
      <c r="T7" s="46">
        <v>0.95</v>
      </c>
      <c r="U7" s="46"/>
      <c r="V7" s="46">
        <v>0.95</v>
      </c>
      <c r="W7" s="46">
        <v>0.95</v>
      </c>
      <c r="X7" s="46">
        <v>0.95</v>
      </c>
      <c r="Y7" s="46"/>
      <c r="Z7" s="45"/>
      <c r="AA7" s="2"/>
    </row>
    <row r="8" spans="2:27" ht="12.6" customHeight="1" x14ac:dyDescent="0.3">
      <c r="B8" s="47" t="s">
        <v>517</v>
      </c>
      <c r="C8" s="48">
        <f t="shared" ref="C8:H8" si="1">+C6*C7*20</f>
        <v>30.779999999999998</v>
      </c>
      <c r="D8" s="48">
        <f t="shared" si="1"/>
        <v>30.779999999999998</v>
      </c>
      <c r="E8" s="48">
        <f t="shared" si="1"/>
        <v>30.779999999999998</v>
      </c>
      <c r="F8" s="48">
        <f t="shared" si="1"/>
        <v>30.779999999999998</v>
      </c>
      <c r="G8" s="48">
        <f t="shared" si="1"/>
        <v>30.779999999999998</v>
      </c>
      <c r="H8" s="48">
        <f t="shared" si="1"/>
        <v>30.779999999999998</v>
      </c>
      <c r="I8" s="48"/>
      <c r="J8" s="48">
        <f t="shared" ref="J8:O8" si="2">+J6*J7*20</f>
        <v>46.17</v>
      </c>
      <c r="K8" s="48">
        <f t="shared" si="2"/>
        <v>61.559999999999995</v>
      </c>
      <c r="L8" s="48">
        <f t="shared" si="2"/>
        <v>46.17</v>
      </c>
      <c r="M8" s="48">
        <f t="shared" si="2"/>
        <v>46.17</v>
      </c>
      <c r="N8" s="48">
        <f t="shared" si="2"/>
        <v>30.779999999999998</v>
      </c>
      <c r="O8" s="48">
        <f t="shared" si="2"/>
        <v>30.779999999999998</v>
      </c>
      <c r="P8" s="48"/>
      <c r="Q8" s="48">
        <f>+Q6*Q7*20</f>
        <v>30.779999999999998</v>
      </c>
      <c r="R8" s="48">
        <f>+R6*R7*20</f>
        <v>61.559999999999995</v>
      </c>
      <c r="S8" s="48">
        <f>+S6*S7*20</f>
        <v>46.17</v>
      </c>
      <c r="T8" s="48">
        <f>+T6*T7*20</f>
        <v>30.779999999999998</v>
      </c>
      <c r="U8" s="48"/>
      <c r="V8" s="48">
        <f>+V6*V7*20</f>
        <v>30.779999999999998</v>
      </c>
      <c r="W8" s="48">
        <f>+W6*W7*20</f>
        <v>61.559999999999995</v>
      </c>
      <c r="X8" s="48">
        <f>+X6*X7*20</f>
        <v>30.779999999999998</v>
      </c>
      <c r="Y8" s="93"/>
      <c r="Z8" s="140">
        <f>SUM(C8:Y8)</f>
        <v>738.71999999999969</v>
      </c>
      <c r="AA8" s="2"/>
    </row>
    <row r="9" spans="2:27" ht="12.6" customHeight="1" x14ac:dyDescent="0.3">
      <c r="B9" s="47" t="s">
        <v>518</v>
      </c>
      <c r="C9" s="48">
        <f t="shared" ref="C9:H9" si="3">C8+C5</f>
        <v>232.78</v>
      </c>
      <c r="D9" s="48">
        <f t="shared" si="3"/>
        <v>407.78</v>
      </c>
      <c r="E9" s="48">
        <f t="shared" si="3"/>
        <v>357.78</v>
      </c>
      <c r="F9" s="48">
        <f t="shared" si="3"/>
        <v>338.78</v>
      </c>
      <c r="G9" s="48">
        <f t="shared" si="3"/>
        <v>327.78</v>
      </c>
      <c r="H9" s="48">
        <f t="shared" si="3"/>
        <v>250.78</v>
      </c>
      <c r="I9" s="48"/>
      <c r="J9" s="48">
        <f t="shared" ref="J9:O9" si="4">J8+J5</f>
        <v>478.17</v>
      </c>
      <c r="K9" s="48">
        <f t="shared" si="4"/>
        <v>789.56</v>
      </c>
      <c r="L9" s="48">
        <f t="shared" si="4"/>
        <v>604.16999999999996</v>
      </c>
      <c r="M9" s="48">
        <f t="shared" si="4"/>
        <v>534.16999999999996</v>
      </c>
      <c r="N9" s="48">
        <f t="shared" si="4"/>
        <v>310.77999999999997</v>
      </c>
      <c r="O9" s="48">
        <f t="shared" si="4"/>
        <v>264.77999999999997</v>
      </c>
      <c r="P9" s="48"/>
      <c r="Q9" s="48">
        <f>Q8+Q5</f>
        <v>355.78</v>
      </c>
      <c r="R9" s="48">
        <f>R8+R5</f>
        <v>737.56</v>
      </c>
      <c r="S9" s="48">
        <f>S8+S5</f>
        <v>560.16999999999996</v>
      </c>
      <c r="T9" s="48">
        <f>T8+T5</f>
        <v>124.78</v>
      </c>
      <c r="U9" s="48"/>
      <c r="V9" s="48">
        <f>V8+V5</f>
        <v>364.78</v>
      </c>
      <c r="W9" s="48">
        <f>W8+W5</f>
        <v>689.56</v>
      </c>
      <c r="X9" s="48">
        <f>X8+X5</f>
        <v>219.78</v>
      </c>
      <c r="Y9" s="48"/>
      <c r="Z9" s="140">
        <f>SUM(C9:Y9)</f>
        <v>7949.7199999999984</v>
      </c>
      <c r="AA9" s="2"/>
    </row>
    <row r="10" spans="2:27" ht="12.6" customHeight="1" x14ac:dyDescent="0.3">
      <c r="B10" s="43" t="s">
        <v>519</v>
      </c>
      <c r="C10" s="101">
        <v>274</v>
      </c>
      <c r="D10" s="101">
        <v>274</v>
      </c>
      <c r="E10" s="101">
        <v>274</v>
      </c>
      <c r="F10" s="101">
        <v>274</v>
      </c>
      <c r="G10" s="101">
        <v>274</v>
      </c>
      <c r="H10" s="101">
        <v>274</v>
      </c>
      <c r="I10" s="101"/>
      <c r="J10" s="101">
        <v>274</v>
      </c>
      <c r="K10" s="101">
        <v>274</v>
      </c>
      <c r="L10" s="101">
        <v>274</v>
      </c>
      <c r="M10" s="101">
        <v>274</v>
      </c>
      <c r="N10" s="101">
        <v>274</v>
      </c>
      <c r="O10" s="101">
        <v>274</v>
      </c>
      <c r="P10" s="101"/>
      <c r="Q10" s="101">
        <v>274</v>
      </c>
      <c r="R10" s="101">
        <v>274</v>
      </c>
      <c r="S10" s="101">
        <v>274</v>
      </c>
      <c r="T10" s="101">
        <v>274</v>
      </c>
      <c r="U10" s="101"/>
      <c r="V10" s="101">
        <v>274</v>
      </c>
      <c r="W10" s="101">
        <v>274</v>
      </c>
      <c r="X10" s="101">
        <v>274</v>
      </c>
      <c r="Y10" s="68"/>
      <c r="Z10" s="45"/>
      <c r="AA10" s="2"/>
    </row>
    <row r="11" spans="2:27" ht="12.6" customHeight="1" x14ac:dyDescent="0.3">
      <c r="B11" s="49" t="s">
        <v>520</v>
      </c>
      <c r="C11" s="50">
        <v>2</v>
      </c>
      <c r="D11" s="50">
        <v>2</v>
      </c>
      <c r="E11" s="50">
        <v>2</v>
      </c>
      <c r="F11" s="50">
        <v>2</v>
      </c>
      <c r="G11" s="50">
        <v>2</v>
      </c>
      <c r="H11" s="50">
        <v>2</v>
      </c>
      <c r="I11" s="50"/>
      <c r="J11" s="50">
        <v>3</v>
      </c>
      <c r="K11" s="50">
        <v>4</v>
      </c>
      <c r="L11" s="50">
        <v>3</v>
      </c>
      <c r="M11" s="50">
        <v>3</v>
      </c>
      <c r="N11" s="50">
        <v>2</v>
      </c>
      <c r="O11" s="50">
        <v>2</v>
      </c>
      <c r="P11" s="50"/>
      <c r="Q11" s="50">
        <v>2</v>
      </c>
      <c r="R11" s="50">
        <v>4</v>
      </c>
      <c r="S11" s="50">
        <v>3</v>
      </c>
      <c r="T11" s="50">
        <v>2</v>
      </c>
      <c r="U11" s="50"/>
      <c r="V11" s="50">
        <v>2</v>
      </c>
      <c r="W11" s="50">
        <v>4</v>
      </c>
      <c r="X11" s="50">
        <v>2</v>
      </c>
      <c r="Y11" s="50"/>
      <c r="Z11" s="140">
        <f>SUM(C11:Y11)</f>
        <v>48</v>
      </c>
      <c r="AA11" s="2"/>
    </row>
    <row r="12" spans="2:27" ht="12.6" customHeight="1" x14ac:dyDescent="0.3">
      <c r="B12" s="51" t="s">
        <v>521</v>
      </c>
      <c r="C12" s="52">
        <f t="shared" ref="C12:H12" si="5">+C10*C11</f>
        <v>548</v>
      </c>
      <c r="D12" s="52">
        <f t="shared" si="5"/>
        <v>548</v>
      </c>
      <c r="E12" s="52">
        <f t="shared" si="5"/>
        <v>548</v>
      </c>
      <c r="F12" s="52">
        <f t="shared" si="5"/>
        <v>548</v>
      </c>
      <c r="G12" s="52">
        <f t="shared" si="5"/>
        <v>548</v>
      </c>
      <c r="H12" s="52">
        <f t="shared" si="5"/>
        <v>548</v>
      </c>
      <c r="I12" s="52"/>
      <c r="J12" s="52">
        <f t="shared" ref="J12:O12" si="6">+J10*J11</f>
        <v>822</v>
      </c>
      <c r="K12" s="52">
        <f t="shared" si="6"/>
        <v>1096</v>
      </c>
      <c r="L12" s="52">
        <f t="shared" si="6"/>
        <v>822</v>
      </c>
      <c r="M12" s="52">
        <f t="shared" si="6"/>
        <v>822</v>
      </c>
      <c r="N12" s="52">
        <f t="shared" si="6"/>
        <v>548</v>
      </c>
      <c r="O12" s="52">
        <f t="shared" si="6"/>
        <v>548</v>
      </c>
      <c r="P12" s="52"/>
      <c r="Q12" s="52">
        <f>+Q10*Q11</f>
        <v>548</v>
      </c>
      <c r="R12" s="52">
        <f>+R10*R11</f>
        <v>1096</v>
      </c>
      <c r="S12" s="52">
        <f>+S10*S11</f>
        <v>822</v>
      </c>
      <c r="T12" s="52">
        <f>+T10*T11</f>
        <v>548</v>
      </c>
      <c r="U12" s="52"/>
      <c r="V12" s="52">
        <f>+V10*V11</f>
        <v>548</v>
      </c>
      <c r="W12" s="52">
        <f>+W10*W11</f>
        <v>1096</v>
      </c>
      <c r="X12" s="52">
        <f>+X10*X11</f>
        <v>548</v>
      </c>
      <c r="Y12" s="52"/>
      <c r="Z12" s="54"/>
      <c r="AA12" s="2"/>
    </row>
    <row r="13" spans="2:27" ht="12.6" customHeight="1" x14ac:dyDescent="0.3">
      <c r="B13" s="51" t="s">
        <v>522</v>
      </c>
      <c r="C13" s="13">
        <f t="shared" ref="C13:H13" si="7">C9/C12</f>
        <v>0.4247810218978102</v>
      </c>
      <c r="D13" s="13">
        <f t="shared" si="7"/>
        <v>0.74412408759124082</v>
      </c>
      <c r="E13" s="13">
        <f t="shared" si="7"/>
        <v>0.65288321167883212</v>
      </c>
      <c r="F13" s="13">
        <f t="shared" si="7"/>
        <v>0.6182116788321167</v>
      </c>
      <c r="G13" s="13">
        <f t="shared" si="7"/>
        <v>0.59813868613138677</v>
      </c>
      <c r="H13" s="13">
        <f t="shared" si="7"/>
        <v>0.45762773722627736</v>
      </c>
      <c r="I13" s="13"/>
      <c r="J13" s="13">
        <f t="shared" ref="J13:O13" si="8">J9/J12</f>
        <v>0.58171532846715335</v>
      </c>
      <c r="K13" s="13">
        <f t="shared" si="8"/>
        <v>0.7204014598540146</v>
      </c>
      <c r="L13" s="13">
        <f t="shared" si="8"/>
        <v>0.73499999999999999</v>
      </c>
      <c r="M13" s="13">
        <f t="shared" si="8"/>
        <v>0.64984184914841847</v>
      </c>
      <c r="N13" s="13">
        <f t="shared" si="8"/>
        <v>0.56711678832116785</v>
      </c>
      <c r="O13" s="13">
        <f t="shared" si="8"/>
        <v>0.48317518248175179</v>
      </c>
      <c r="P13" s="13"/>
      <c r="Q13" s="13">
        <f>Q9/Q12</f>
        <v>0.64923357664233572</v>
      </c>
      <c r="R13" s="13">
        <f>R9/R12</f>
        <v>0.67295620437956194</v>
      </c>
      <c r="S13" s="13">
        <f>S9/S12</f>
        <v>0.68147201946472014</v>
      </c>
      <c r="T13" s="13">
        <f>T9/T12</f>
        <v>0.22770072992700729</v>
      </c>
      <c r="U13" s="13"/>
      <c r="V13" s="13">
        <f>V9/V12</f>
        <v>0.66565693430656925</v>
      </c>
      <c r="W13" s="13">
        <f>W9/W12</f>
        <v>0.62916058394160579</v>
      </c>
      <c r="X13" s="13">
        <f>X9/X12</f>
        <v>0.40105839416058392</v>
      </c>
      <c r="Y13" s="13"/>
      <c r="Z13" s="54"/>
      <c r="AA13" s="2"/>
    </row>
    <row r="14" spans="2:27" ht="12.6" customHeight="1" x14ac:dyDescent="0.3">
      <c r="B14" s="51" t="s">
        <v>257</v>
      </c>
      <c r="C14" s="5" t="str">
        <f t="shared" ref="C14:H14" si="9">IF(C13&lt;1,"OK","ＮＧ")</f>
        <v>OK</v>
      </c>
      <c r="D14" s="5" t="str">
        <f t="shared" si="9"/>
        <v>OK</v>
      </c>
      <c r="E14" s="5" t="str">
        <f t="shared" si="9"/>
        <v>OK</v>
      </c>
      <c r="F14" s="5" t="str">
        <f t="shared" si="9"/>
        <v>OK</v>
      </c>
      <c r="G14" s="5" t="str">
        <f t="shared" si="9"/>
        <v>OK</v>
      </c>
      <c r="H14" s="5" t="str">
        <f t="shared" si="9"/>
        <v>OK</v>
      </c>
      <c r="I14" s="5"/>
      <c r="J14" s="5" t="str">
        <f t="shared" ref="J14:O14" si="10">IF(J13&lt;1,"OK","ＮＧ")</f>
        <v>OK</v>
      </c>
      <c r="K14" s="5" t="str">
        <f t="shared" si="10"/>
        <v>OK</v>
      </c>
      <c r="L14" s="5" t="str">
        <f t="shared" si="10"/>
        <v>OK</v>
      </c>
      <c r="M14" s="5" t="str">
        <f t="shared" si="10"/>
        <v>OK</v>
      </c>
      <c r="N14" s="5" t="str">
        <f t="shared" si="10"/>
        <v>OK</v>
      </c>
      <c r="O14" s="5" t="str">
        <f t="shared" si="10"/>
        <v>OK</v>
      </c>
      <c r="P14" s="5"/>
      <c r="Q14" s="5" t="str">
        <f>IF(Q13&lt;1,"OK","ＮＧ")</f>
        <v>OK</v>
      </c>
      <c r="R14" s="5" t="str">
        <f>IF(R13&lt;1,"OK","ＮＧ")</f>
        <v>OK</v>
      </c>
      <c r="S14" s="5" t="str">
        <f>IF(S13&lt;1,"OK","ＮＧ")</f>
        <v>OK</v>
      </c>
      <c r="T14" s="5" t="str">
        <f>IF(T13&lt;1,"OK","ＮＧ")</f>
        <v>OK</v>
      </c>
      <c r="U14" s="5"/>
      <c r="V14" s="5" t="str">
        <f>IF(V13&lt;1,"OK","ＮＧ")</f>
        <v>OK</v>
      </c>
      <c r="W14" s="5" t="str">
        <f>IF(W13&lt;1,"OK","ＮＧ")</f>
        <v>OK</v>
      </c>
      <c r="X14" s="5" t="str">
        <f>IF(X13&lt;1,"OK","ＮＧ")</f>
        <v>OK</v>
      </c>
      <c r="Y14" s="5"/>
      <c r="Z14" s="54"/>
      <c r="AA14" s="2"/>
    </row>
    <row r="15" spans="2:27" ht="12.6" customHeight="1" x14ac:dyDescent="0.3">
      <c r="B15" s="55" t="s">
        <v>258</v>
      </c>
      <c r="C15" s="56"/>
      <c r="D15" s="56"/>
      <c r="E15" s="56"/>
      <c r="F15" s="56"/>
      <c r="G15" s="56"/>
      <c r="H15" s="56"/>
      <c r="I15" s="56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41"/>
      <c r="AA15" s="2"/>
    </row>
    <row r="16" spans="2:27" ht="12.6" customHeight="1" x14ac:dyDescent="0.3">
      <c r="B16" s="2" t="s">
        <v>259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Z16" s="57"/>
      <c r="AA16" s="2"/>
    </row>
    <row r="17" spans="2:27" ht="12.6" customHeight="1" x14ac:dyDescent="0.3">
      <c r="B17" s="58"/>
      <c r="C17" s="39" t="str">
        <f t="shared" ref="C17:H18" si="11">+C4</f>
        <v>Y0-X0</v>
      </c>
      <c r="D17" s="40" t="str">
        <f t="shared" si="11"/>
        <v>Y0-X1</v>
      </c>
      <c r="E17" s="40" t="str">
        <f t="shared" si="11"/>
        <v>Y0-X2</v>
      </c>
      <c r="F17" s="40" t="str">
        <f t="shared" si="11"/>
        <v>Y0-X3</v>
      </c>
      <c r="G17" s="40" t="str">
        <f t="shared" si="11"/>
        <v>Y0-X4</v>
      </c>
      <c r="H17" s="40" t="str">
        <f t="shared" si="11"/>
        <v>Y0-X5</v>
      </c>
      <c r="I17" s="40"/>
      <c r="J17" s="40" t="str">
        <f t="shared" ref="J17:O18" si="12">+J4</f>
        <v>Y1-X0</v>
      </c>
      <c r="K17" s="40" t="str">
        <f t="shared" si="12"/>
        <v>Y1-X1</v>
      </c>
      <c r="L17" s="40" t="str">
        <f t="shared" si="12"/>
        <v>Y1-X2</v>
      </c>
      <c r="M17" s="40" t="str">
        <f t="shared" si="12"/>
        <v>Y1-X3</v>
      </c>
      <c r="N17" s="40" t="str">
        <f t="shared" si="12"/>
        <v>Y1-X4</v>
      </c>
      <c r="O17" s="40" t="str">
        <f t="shared" si="12"/>
        <v>Y1-X5</v>
      </c>
      <c r="P17" s="40"/>
      <c r="Q17" s="40" t="str">
        <f t="shared" ref="Q17:T18" si="13">+Q4</f>
        <v>Y2-X0</v>
      </c>
      <c r="R17" s="40" t="str">
        <f t="shared" si="13"/>
        <v>Y2-X1</v>
      </c>
      <c r="S17" s="40" t="str">
        <f t="shared" si="13"/>
        <v>Y2-X2</v>
      </c>
      <c r="T17" s="40" t="str">
        <f t="shared" si="13"/>
        <v>Y2-X3</v>
      </c>
      <c r="U17" s="40"/>
      <c r="V17" s="40" t="str">
        <f t="shared" ref="V17:X18" si="14">+V4</f>
        <v>Y3-X0</v>
      </c>
      <c r="W17" s="40" t="str">
        <f t="shared" si="14"/>
        <v>Y3-X1</v>
      </c>
      <c r="X17" s="40" t="str">
        <f t="shared" si="14"/>
        <v>Y3-X2</v>
      </c>
      <c r="Y17" s="14"/>
      <c r="Z17" s="59" t="s">
        <v>250</v>
      </c>
      <c r="AA17" s="2"/>
    </row>
    <row r="18" spans="2:27" ht="12.6" customHeight="1" x14ac:dyDescent="0.3">
      <c r="B18" s="60" t="s">
        <v>514</v>
      </c>
      <c r="C18" s="61">
        <f t="shared" si="11"/>
        <v>202</v>
      </c>
      <c r="D18" s="62">
        <f t="shared" si="11"/>
        <v>377</v>
      </c>
      <c r="E18" s="62">
        <f t="shared" si="11"/>
        <v>327</v>
      </c>
      <c r="F18" s="62">
        <f t="shared" si="11"/>
        <v>308</v>
      </c>
      <c r="G18" s="62">
        <f t="shared" si="11"/>
        <v>297</v>
      </c>
      <c r="H18" s="62">
        <f t="shared" si="11"/>
        <v>220</v>
      </c>
      <c r="I18" s="62"/>
      <c r="J18" s="62">
        <f t="shared" si="12"/>
        <v>432</v>
      </c>
      <c r="K18" s="62">
        <f t="shared" si="12"/>
        <v>728</v>
      </c>
      <c r="L18" s="62">
        <f t="shared" si="12"/>
        <v>558</v>
      </c>
      <c r="M18" s="62">
        <f t="shared" si="12"/>
        <v>488</v>
      </c>
      <c r="N18" s="62">
        <f t="shared" si="12"/>
        <v>280</v>
      </c>
      <c r="O18" s="62">
        <f t="shared" si="12"/>
        <v>234</v>
      </c>
      <c r="P18" s="62"/>
      <c r="Q18" s="62">
        <f t="shared" si="13"/>
        <v>325</v>
      </c>
      <c r="R18" s="62">
        <f t="shared" si="13"/>
        <v>676</v>
      </c>
      <c r="S18" s="62">
        <f t="shared" si="13"/>
        <v>514</v>
      </c>
      <c r="T18" s="62">
        <f t="shared" si="13"/>
        <v>94</v>
      </c>
      <c r="U18" s="62"/>
      <c r="V18" s="62">
        <f t="shared" si="14"/>
        <v>334</v>
      </c>
      <c r="W18" s="62">
        <f t="shared" si="14"/>
        <v>628</v>
      </c>
      <c r="X18" s="62">
        <f t="shared" si="14"/>
        <v>189</v>
      </c>
      <c r="Y18" s="63"/>
      <c r="Z18" s="42"/>
      <c r="AA18" s="2"/>
    </row>
    <row r="19" spans="2:27" ht="12.6" customHeight="1" x14ac:dyDescent="0.3">
      <c r="B19" s="43" t="s">
        <v>523</v>
      </c>
      <c r="C19" s="64">
        <v>4</v>
      </c>
      <c r="D19" s="99">
        <v>3</v>
      </c>
      <c r="E19" s="99">
        <v>3</v>
      </c>
      <c r="F19" s="99">
        <v>3</v>
      </c>
      <c r="G19" s="99">
        <v>6</v>
      </c>
      <c r="H19" s="99">
        <v>12</v>
      </c>
      <c r="I19" s="99"/>
      <c r="J19" s="99">
        <v>43</v>
      </c>
      <c r="K19" s="99">
        <v>41</v>
      </c>
      <c r="L19" s="99">
        <v>2</v>
      </c>
      <c r="M19" s="99">
        <v>10</v>
      </c>
      <c r="N19" s="99">
        <v>1</v>
      </c>
      <c r="O19" s="99">
        <v>16</v>
      </c>
      <c r="P19" s="99"/>
      <c r="Q19" s="99">
        <v>19</v>
      </c>
      <c r="R19" s="99">
        <v>31</v>
      </c>
      <c r="S19" s="99">
        <v>26</v>
      </c>
      <c r="T19" s="99">
        <v>32</v>
      </c>
      <c r="U19" s="99"/>
      <c r="V19" s="99">
        <v>14</v>
      </c>
      <c r="W19" s="99">
        <v>35</v>
      </c>
      <c r="X19" s="99">
        <v>43</v>
      </c>
      <c r="Y19" s="65"/>
      <c r="Z19" s="45"/>
      <c r="AA19" s="2"/>
    </row>
    <row r="20" spans="2:27" ht="12.6" customHeight="1" x14ac:dyDescent="0.3">
      <c r="B20" s="43" t="s">
        <v>524</v>
      </c>
      <c r="C20" s="66">
        <v>18</v>
      </c>
      <c r="D20" s="67">
        <v>11</v>
      </c>
      <c r="E20" s="67">
        <v>13</v>
      </c>
      <c r="F20" s="67">
        <v>7</v>
      </c>
      <c r="G20" s="67">
        <v>13</v>
      </c>
      <c r="H20" s="67">
        <v>9</v>
      </c>
      <c r="I20" s="67"/>
      <c r="J20" s="67">
        <v>20</v>
      </c>
      <c r="K20" s="67">
        <v>9</v>
      </c>
      <c r="L20" s="67">
        <v>6</v>
      </c>
      <c r="M20" s="67">
        <v>76</v>
      </c>
      <c r="N20" s="67">
        <v>11</v>
      </c>
      <c r="O20" s="67">
        <v>12</v>
      </c>
      <c r="P20" s="67"/>
      <c r="Q20" s="67">
        <v>1</v>
      </c>
      <c r="R20" s="67">
        <v>44</v>
      </c>
      <c r="S20" s="67">
        <v>73</v>
      </c>
      <c r="T20" s="67">
        <v>84</v>
      </c>
      <c r="U20" s="67"/>
      <c r="V20" s="67">
        <v>35</v>
      </c>
      <c r="W20" s="67">
        <v>55</v>
      </c>
      <c r="X20" s="67">
        <v>74</v>
      </c>
      <c r="Y20" s="46"/>
      <c r="Z20" s="45"/>
      <c r="AA20" s="2"/>
    </row>
    <row r="21" spans="2:27" ht="12.6" customHeight="1" x14ac:dyDescent="0.3">
      <c r="B21" s="51" t="s">
        <v>525</v>
      </c>
      <c r="C21" s="69">
        <f t="shared" ref="C21:H21" si="15">MAX(C19,C20)</f>
        <v>18</v>
      </c>
      <c r="D21" s="70">
        <f t="shared" si="15"/>
        <v>11</v>
      </c>
      <c r="E21" s="70">
        <f t="shared" si="15"/>
        <v>13</v>
      </c>
      <c r="F21" s="70">
        <f t="shared" si="15"/>
        <v>7</v>
      </c>
      <c r="G21" s="70">
        <f t="shared" si="15"/>
        <v>13</v>
      </c>
      <c r="H21" s="70">
        <f t="shared" si="15"/>
        <v>12</v>
      </c>
      <c r="I21" s="70"/>
      <c r="J21" s="70">
        <f t="shared" ref="J21:O21" si="16">MAX(J19,J20)</f>
        <v>43</v>
      </c>
      <c r="K21" s="70">
        <f t="shared" si="16"/>
        <v>41</v>
      </c>
      <c r="L21" s="70">
        <f t="shared" si="16"/>
        <v>6</v>
      </c>
      <c r="M21" s="70">
        <f t="shared" si="16"/>
        <v>76</v>
      </c>
      <c r="N21" s="70">
        <f t="shared" si="16"/>
        <v>11</v>
      </c>
      <c r="O21" s="70">
        <f t="shared" si="16"/>
        <v>16</v>
      </c>
      <c r="P21" s="70"/>
      <c r="Q21" s="70">
        <f>MAX(Q19,Q20)</f>
        <v>19</v>
      </c>
      <c r="R21" s="70">
        <f>MAX(R19,R20)</f>
        <v>44</v>
      </c>
      <c r="S21" s="70">
        <f>MAX(S19,S20)</f>
        <v>73</v>
      </c>
      <c r="T21" s="70">
        <f>MAX(T19,T20)</f>
        <v>84</v>
      </c>
      <c r="U21" s="70"/>
      <c r="V21" s="70">
        <f>MAX(V19,V20)</f>
        <v>35</v>
      </c>
      <c r="W21" s="70">
        <f>MAX(W19,W20)</f>
        <v>55</v>
      </c>
      <c r="X21" s="70">
        <f>MAX(X19,X20)</f>
        <v>74</v>
      </c>
      <c r="Y21" s="71"/>
      <c r="Z21" s="45"/>
      <c r="AA21" s="2"/>
    </row>
    <row r="22" spans="2:27" ht="12.6" customHeight="1" x14ac:dyDescent="0.3">
      <c r="B22" s="51" t="s">
        <v>526</v>
      </c>
      <c r="C22" s="72">
        <f t="shared" ref="C22:H22" si="17">+C21+C18</f>
        <v>220</v>
      </c>
      <c r="D22" s="52">
        <f t="shared" si="17"/>
        <v>388</v>
      </c>
      <c r="E22" s="52">
        <f t="shared" si="17"/>
        <v>340</v>
      </c>
      <c r="F22" s="52">
        <f t="shared" si="17"/>
        <v>315</v>
      </c>
      <c r="G22" s="52">
        <f t="shared" si="17"/>
        <v>310</v>
      </c>
      <c r="H22" s="52">
        <f t="shared" si="17"/>
        <v>232</v>
      </c>
      <c r="I22" s="52"/>
      <c r="J22" s="52">
        <f t="shared" ref="J22:O22" si="18">+J21+J18</f>
        <v>475</v>
      </c>
      <c r="K22" s="52">
        <f t="shared" si="18"/>
        <v>769</v>
      </c>
      <c r="L22" s="52">
        <f t="shared" si="18"/>
        <v>564</v>
      </c>
      <c r="M22" s="52">
        <f t="shared" si="18"/>
        <v>564</v>
      </c>
      <c r="N22" s="52">
        <f t="shared" si="18"/>
        <v>291</v>
      </c>
      <c r="O22" s="52">
        <f t="shared" si="18"/>
        <v>250</v>
      </c>
      <c r="P22" s="52"/>
      <c r="Q22" s="52">
        <f>+Q21+Q18</f>
        <v>344</v>
      </c>
      <c r="R22" s="52">
        <f>+R21+R18</f>
        <v>720</v>
      </c>
      <c r="S22" s="52">
        <f>+S21+S18</f>
        <v>587</v>
      </c>
      <c r="T22" s="52">
        <f>+T21+T18</f>
        <v>178</v>
      </c>
      <c r="U22" s="52"/>
      <c r="V22" s="52">
        <f>+V21+V18</f>
        <v>369</v>
      </c>
      <c r="W22" s="52">
        <f>+W21+W18</f>
        <v>683</v>
      </c>
      <c r="X22" s="52">
        <f>+X21+X18</f>
        <v>263</v>
      </c>
      <c r="Y22" s="53"/>
      <c r="Z22" s="45">
        <f>SUM(C22:Y22)</f>
        <v>7862</v>
      </c>
      <c r="AA22" s="2"/>
    </row>
    <row r="23" spans="2:27" ht="12.6" customHeight="1" x14ac:dyDescent="0.3">
      <c r="B23" s="51" t="s">
        <v>515</v>
      </c>
      <c r="C23" s="73">
        <f t="shared" ref="C23:H24" si="19">+C6</f>
        <v>1.62</v>
      </c>
      <c r="D23" s="74">
        <f t="shared" si="19"/>
        <v>1.62</v>
      </c>
      <c r="E23" s="74">
        <f t="shared" si="19"/>
        <v>1.62</v>
      </c>
      <c r="F23" s="74">
        <f t="shared" si="19"/>
        <v>1.62</v>
      </c>
      <c r="G23" s="74">
        <f t="shared" si="19"/>
        <v>1.62</v>
      </c>
      <c r="H23" s="74">
        <f t="shared" si="19"/>
        <v>1.62</v>
      </c>
      <c r="I23" s="74"/>
      <c r="J23" s="74">
        <f t="shared" ref="J23:O24" si="20">+J6</f>
        <v>2.4300000000000002</v>
      </c>
      <c r="K23" s="74">
        <f t="shared" si="20"/>
        <v>3.24</v>
      </c>
      <c r="L23" s="74">
        <f t="shared" si="20"/>
        <v>2.4300000000000002</v>
      </c>
      <c r="M23" s="74">
        <f t="shared" si="20"/>
        <v>2.4300000000000002</v>
      </c>
      <c r="N23" s="74">
        <f t="shared" si="20"/>
        <v>1.62</v>
      </c>
      <c r="O23" s="74">
        <f t="shared" si="20"/>
        <v>1.62</v>
      </c>
      <c r="P23" s="74"/>
      <c r="Q23" s="74">
        <f t="shared" ref="Q23:T24" si="21">+Q6</f>
        <v>1.62</v>
      </c>
      <c r="R23" s="74">
        <f t="shared" si="21"/>
        <v>3.24</v>
      </c>
      <c r="S23" s="74">
        <f t="shared" si="21"/>
        <v>2.4300000000000002</v>
      </c>
      <c r="T23" s="74">
        <f t="shared" si="21"/>
        <v>1.62</v>
      </c>
      <c r="U23" s="74"/>
      <c r="V23" s="74">
        <f t="shared" ref="V23:X24" si="22">+V6</f>
        <v>1.62</v>
      </c>
      <c r="W23" s="74">
        <f t="shared" si="22"/>
        <v>3.24</v>
      </c>
      <c r="X23" s="74">
        <f t="shared" si="22"/>
        <v>1.62</v>
      </c>
      <c r="Y23" s="74"/>
      <c r="Z23" s="45"/>
      <c r="AA23" s="2"/>
    </row>
    <row r="24" spans="2:27" ht="12.6" customHeight="1" x14ac:dyDescent="0.3">
      <c r="B24" s="51" t="s">
        <v>516</v>
      </c>
      <c r="C24" s="75">
        <f t="shared" si="19"/>
        <v>0.95</v>
      </c>
      <c r="D24" s="53">
        <f t="shared" si="19"/>
        <v>0.95</v>
      </c>
      <c r="E24" s="53">
        <f t="shared" si="19"/>
        <v>0.95</v>
      </c>
      <c r="F24" s="53">
        <f t="shared" si="19"/>
        <v>0.95</v>
      </c>
      <c r="G24" s="53">
        <f t="shared" si="19"/>
        <v>0.95</v>
      </c>
      <c r="H24" s="53">
        <f t="shared" si="19"/>
        <v>0.95</v>
      </c>
      <c r="I24" s="53"/>
      <c r="J24" s="53">
        <f t="shared" si="20"/>
        <v>0.95</v>
      </c>
      <c r="K24" s="53">
        <f t="shared" si="20"/>
        <v>0.95</v>
      </c>
      <c r="L24" s="53">
        <f t="shared" si="20"/>
        <v>0.95</v>
      </c>
      <c r="M24" s="53">
        <f t="shared" si="20"/>
        <v>0.95</v>
      </c>
      <c r="N24" s="53">
        <f t="shared" si="20"/>
        <v>0.95</v>
      </c>
      <c r="O24" s="53">
        <f t="shared" si="20"/>
        <v>0.95</v>
      </c>
      <c r="P24" s="53"/>
      <c r="Q24" s="53">
        <f t="shared" si="21"/>
        <v>0.95</v>
      </c>
      <c r="R24" s="53">
        <f t="shared" si="21"/>
        <v>0.95</v>
      </c>
      <c r="S24" s="53">
        <f t="shared" si="21"/>
        <v>0.95</v>
      </c>
      <c r="T24" s="53">
        <f t="shared" si="21"/>
        <v>0.95</v>
      </c>
      <c r="U24" s="53"/>
      <c r="V24" s="53">
        <f t="shared" si="22"/>
        <v>0.95</v>
      </c>
      <c r="W24" s="53">
        <f t="shared" si="22"/>
        <v>0.95</v>
      </c>
      <c r="X24" s="53">
        <f t="shared" si="22"/>
        <v>0.95</v>
      </c>
      <c r="Y24" s="53"/>
      <c r="Z24" s="45"/>
      <c r="AA24" s="2"/>
    </row>
    <row r="25" spans="2:27" ht="12.6" customHeight="1" x14ac:dyDescent="0.3">
      <c r="B25" s="51" t="s">
        <v>517</v>
      </c>
      <c r="C25" s="72">
        <f t="shared" ref="C25:H25" si="23">C23*C24*2*9.80665</f>
        <v>30.184868699999996</v>
      </c>
      <c r="D25" s="52">
        <f t="shared" si="23"/>
        <v>30.184868699999996</v>
      </c>
      <c r="E25" s="52">
        <f t="shared" si="23"/>
        <v>30.184868699999996</v>
      </c>
      <c r="F25" s="52">
        <f t="shared" si="23"/>
        <v>30.184868699999996</v>
      </c>
      <c r="G25" s="52">
        <f t="shared" si="23"/>
        <v>30.184868699999996</v>
      </c>
      <c r="H25" s="52">
        <f t="shared" si="23"/>
        <v>30.184868699999996</v>
      </c>
      <c r="I25" s="52"/>
      <c r="J25" s="52">
        <f t="shared" ref="J25:O25" si="24">J23*J24*2*9.80665</f>
        <v>45.27730305</v>
      </c>
      <c r="K25" s="52">
        <f t="shared" si="24"/>
        <v>60.369737399999991</v>
      </c>
      <c r="L25" s="52">
        <f t="shared" si="24"/>
        <v>45.27730305</v>
      </c>
      <c r="M25" s="52">
        <f t="shared" si="24"/>
        <v>45.27730305</v>
      </c>
      <c r="N25" s="52">
        <f t="shared" si="24"/>
        <v>30.184868699999996</v>
      </c>
      <c r="O25" s="52">
        <f t="shared" si="24"/>
        <v>30.184868699999996</v>
      </c>
      <c r="P25" s="52"/>
      <c r="Q25" s="52">
        <f>Q23*Q24*2*9.80665</f>
        <v>30.184868699999996</v>
      </c>
      <c r="R25" s="52">
        <f>R23*R24*2*9.80665</f>
        <v>60.369737399999991</v>
      </c>
      <c r="S25" s="52">
        <f>S23*S24*2*9.80665</f>
        <v>45.27730305</v>
      </c>
      <c r="T25" s="52">
        <f>T23*T24*2*9.80665</f>
        <v>30.184868699999996</v>
      </c>
      <c r="U25" s="52"/>
      <c r="V25" s="52">
        <f>V23*V24*2*9.80665</f>
        <v>30.184868699999996</v>
      </c>
      <c r="W25" s="52">
        <f>W23*W24*2*9.80665</f>
        <v>60.369737399999991</v>
      </c>
      <c r="X25" s="52">
        <f>X23*X24*2*9.80665</f>
        <v>30.184868699999996</v>
      </c>
      <c r="Y25" s="53"/>
      <c r="Z25" s="45">
        <f>SUM(C25:Y25)</f>
        <v>724.43684880000001</v>
      </c>
      <c r="AA25" s="2"/>
    </row>
    <row r="26" spans="2:27" ht="12.6" customHeight="1" x14ac:dyDescent="0.3">
      <c r="B26" s="51" t="s">
        <v>518</v>
      </c>
      <c r="C26" s="72">
        <f t="shared" ref="C26:H26" si="25">C22+C25</f>
        <v>250.18486869999998</v>
      </c>
      <c r="D26" s="52">
        <f t="shared" si="25"/>
        <v>418.18486869999998</v>
      </c>
      <c r="E26" s="52">
        <f t="shared" si="25"/>
        <v>370.18486869999998</v>
      </c>
      <c r="F26" s="52">
        <f t="shared" si="25"/>
        <v>345.18486869999998</v>
      </c>
      <c r="G26" s="52">
        <f t="shared" si="25"/>
        <v>340.18486869999998</v>
      </c>
      <c r="H26" s="52">
        <f t="shared" si="25"/>
        <v>262.18486869999998</v>
      </c>
      <c r="I26" s="52"/>
      <c r="J26" s="52">
        <f t="shared" ref="J26:O26" si="26">J22+J25</f>
        <v>520.27730305</v>
      </c>
      <c r="K26" s="52">
        <f t="shared" si="26"/>
        <v>829.36973739999996</v>
      </c>
      <c r="L26" s="52">
        <f t="shared" si="26"/>
        <v>609.27730305</v>
      </c>
      <c r="M26" s="52">
        <f t="shared" si="26"/>
        <v>609.27730305</v>
      </c>
      <c r="N26" s="52">
        <f t="shared" si="26"/>
        <v>321.18486869999998</v>
      </c>
      <c r="O26" s="52">
        <f t="shared" si="26"/>
        <v>280.18486869999998</v>
      </c>
      <c r="P26" s="52"/>
      <c r="Q26" s="52">
        <f>Q22+Q25</f>
        <v>374.18486869999998</v>
      </c>
      <c r="R26" s="52">
        <f>R22+R25</f>
        <v>780.36973739999996</v>
      </c>
      <c r="S26" s="52">
        <f>S22+S25</f>
        <v>632.27730305</v>
      </c>
      <c r="T26" s="52">
        <f>T22+T25</f>
        <v>208.18486869999998</v>
      </c>
      <c r="U26" s="52"/>
      <c r="V26" s="52">
        <f>V22+V25</f>
        <v>399.18486869999998</v>
      </c>
      <c r="W26" s="52">
        <f>W22+W25</f>
        <v>743.36973739999996</v>
      </c>
      <c r="X26" s="52">
        <f>X22+X25</f>
        <v>293.18486869999998</v>
      </c>
      <c r="Y26" s="53"/>
      <c r="Z26" s="45">
        <f>SUM(C26:Y26)</f>
        <v>8586.4368488000018</v>
      </c>
      <c r="AA26" s="2"/>
    </row>
    <row r="27" spans="2:27" ht="12.6" customHeight="1" x14ac:dyDescent="0.3">
      <c r="B27" s="51" t="s">
        <v>527</v>
      </c>
      <c r="C27" s="72">
        <f t="shared" ref="C27:H27" si="27">+C10*2</f>
        <v>548</v>
      </c>
      <c r="D27" s="52">
        <f t="shared" si="27"/>
        <v>548</v>
      </c>
      <c r="E27" s="52">
        <f t="shared" si="27"/>
        <v>548</v>
      </c>
      <c r="F27" s="52">
        <f t="shared" si="27"/>
        <v>548</v>
      </c>
      <c r="G27" s="52">
        <f t="shared" si="27"/>
        <v>548</v>
      </c>
      <c r="H27" s="52">
        <f t="shared" si="27"/>
        <v>548</v>
      </c>
      <c r="I27" s="52"/>
      <c r="J27" s="52">
        <f t="shared" ref="J27:O27" si="28">+J10*2</f>
        <v>548</v>
      </c>
      <c r="K27" s="52">
        <f t="shared" si="28"/>
        <v>548</v>
      </c>
      <c r="L27" s="52">
        <f t="shared" si="28"/>
        <v>548</v>
      </c>
      <c r="M27" s="52">
        <f t="shared" si="28"/>
        <v>548</v>
      </c>
      <c r="N27" s="52">
        <f t="shared" si="28"/>
        <v>548</v>
      </c>
      <c r="O27" s="52">
        <f t="shared" si="28"/>
        <v>548</v>
      </c>
      <c r="P27" s="52"/>
      <c r="Q27" s="52">
        <f>+Q10*2</f>
        <v>548</v>
      </c>
      <c r="R27" s="52">
        <f>+R10*2</f>
        <v>548</v>
      </c>
      <c r="S27" s="52">
        <f>+S10*2</f>
        <v>548</v>
      </c>
      <c r="T27" s="52">
        <f>+T10*2</f>
        <v>548</v>
      </c>
      <c r="U27" s="52"/>
      <c r="V27" s="52">
        <f>+V10*2</f>
        <v>548</v>
      </c>
      <c r="W27" s="52">
        <f>+W10*2</f>
        <v>548</v>
      </c>
      <c r="X27" s="52">
        <f>+X10*2</f>
        <v>548</v>
      </c>
      <c r="Y27" s="53"/>
      <c r="Z27" s="45"/>
      <c r="AA27" s="2"/>
    </row>
    <row r="28" spans="2:27" ht="12.6" customHeight="1" x14ac:dyDescent="0.3">
      <c r="B28" s="76" t="s">
        <v>520</v>
      </c>
      <c r="C28" s="77">
        <f t="shared" ref="C28:H28" si="29">+C11</f>
        <v>2</v>
      </c>
      <c r="D28" s="78">
        <f t="shared" si="29"/>
        <v>2</v>
      </c>
      <c r="E28" s="78">
        <f t="shared" si="29"/>
        <v>2</v>
      </c>
      <c r="F28" s="78">
        <f t="shared" si="29"/>
        <v>2</v>
      </c>
      <c r="G28" s="78">
        <f t="shared" si="29"/>
        <v>2</v>
      </c>
      <c r="H28" s="78">
        <f t="shared" si="29"/>
        <v>2</v>
      </c>
      <c r="I28" s="78"/>
      <c r="J28" s="78">
        <f t="shared" ref="J28:O28" si="30">+J11</f>
        <v>3</v>
      </c>
      <c r="K28" s="78">
        <f t="shared" si="30"/>
        <v>4</v>
      </c>
      <c r="L28" s="78">
        <f t="shared" si="30"/>
        <v>3</v>
      </c>
      <c r="M28" s="78">
        <f t="shared" si="30"/>
        <v>3</v>
      </c>
      <c r="N28" s="78">
        <f t="shared" si="30"/>
        <v>2</v>
      </c>
      <c r="O28" s="78">
        <f t="shared" si="30"/>
        <v>2</v>
      </c>
      <c r="P28" s="78"/>
      <c r="Q28" s="78">
        <f>+Q11</f>
        <v>2</v>
      </c>
      <c r="R28" s="78">
        <f>+R11</f>
        <v>4</v>
      </c>
      <c r="S28" s="78">
        <f>+S11</f>
        <v>3</v>
      </c>
      <c r="T28" s="78">
        <f>+T11</f>
        <v>2</v>
      </c>
      <c r="U28" s="78"/>
      <c r="V28" s="78">
        <f>+V11</f>
        <v>2</v>
      </c>
      <c r="W28" s="78">
        <f>+W11</f>
        <v>4</v>
      </c>
      <c r="X28" s="78">
        <f>+X11</f>
        <v>2</v>
      </c>
      <c r="Y28" s="78"/>
      <c r="Z28" s="45">
        <f>SUM(C28:Y28)</f>
        <v>48</v>
      </c>
      <c r="AA28" s="2"/>
    </row>
    <row r="29" spans="2:27" ht="12.6" customHeight="1" x14ac:dyDescent="0.3">
      <c r="B29" s="51" t="s">
        <v>528</v>
      </c>
      <c r="C29" s="72">
        <f t="shared" ref="C29:H29" si="31">+C27*C28</f>
        <v>1096</v>
      </c>
      <c r="D29" s="52">
        <f t="shared" si="31"/>
        <v>1096</v>
      </c>
      <c r="E29" s="52">
        <f t="shared" si="31"/>
        <v>1096</v>
      </c>
      <c r="F29" s="52">
        <f t="shared" si="31"/>
        <v>1096</v>
      </c>
      <c r="G29" s="52">
        <f t="shared" si="31"/>
        <v>1096</v>
      </c>
      <c r="H29" s="52">
        <f t="shared" si="31"/>
        <v>1096</v>
      </c>
      <c r="I29" s="52"/>
      <c r="J29" s="52">
        <f t="shared" ref="J29:O29" si="32">+J27*J28</f>
        <v>1644</v>
      </c>
      <c r="K29" s="52">
        <f t="shared" si="32"/>
        <v>2192</v>
      </c>
      <c r="L29" s="52">
        <f t="shared" si="32"/>
        <v>1644</v>
      </c>
      <c r="M29" s="52">
        <f t="shared" si="32"/>
        <v>1644</v>
      </c>
      <c r="N29" s="52">
        <f t="shared" si="32"/>
        <v>1096</v>
      </c>
      <c r="O29" s="52">
        <f t="shared" si="32"/>
        <v>1096</v>
      </c>
      <c r="P29" s="52"/>
      <c r="Q29" s="52">
        <f>+Q27*Q28</f>
        <v>1096</v>
      </c>
      <c r="R29" s="52">
        <f>+R27*R28</f>
        <v>2192</v>
      </c>
      <c r="S29" s="52">
        <f>+S27*S28</f>
        <v>1644</v>
      </c>
      <c r="T29" s="52">
        <f>+T27*T28</f>
        <v>1096</v>
      </c>
      <c r="U29" s="52"/>
      <c r="V29" s="52">
        <f>+V27*V28</f>
        <v>1096</v>
      </c>
      <c r="W29" s="52">
        <f>+W27*W28</f>
        <v>2192</v>
      </c>
      <c r="X29" s="52">
        <f>+X27*X28</f>
        <v>1096</v>
      </c>
      <c r="Y29" s="53"/>
      <c r="Z29" s="45"/>
      <c r="AA29" s="2"/>
    </row>
    <row r="30" spans="2:27" ht="12.6" customHeight="1" x14ac:dyDescent="0.3">
      <c r="B30" s="51" t="s">
        <v>529</v>
      </c>
      <c r="C30" s="75">
        <f t="shared" ref="C30:H30" si="33">+C26/C29</f>
        <v>0.22827086560218976</v>
      </c>
      <c r="D30" s="53">
        <f t="shared" si="33"/>
        <v>0.38155553713503648</v>
      </c>
      <c r="E30" s="53">
        <f t="shared" si="33"/>
        <v>0.33775991669708028</v>
      </c>
      <c r="F30" s="53">
        <f t="shared" si="33"/>
        <v>0.31494969771897807</v>
      </c>
      <c r="G30" s="53">
        <f t="shared" si="33"/>
        <v>0.31038765392335765</v>
      </c>
      <c r="H30" s="53">
        <f t="shared" si="33"/>
        <v>0.23921977071167883</v>
      </c>
      <c r="I30" s="53"/>
      <c r="J30" s="53">
        <f t="shared" ref="J30:O30" si="34">+J26/J29</f>
        <v>0.3164703789841849</v>
      </c>
      <c r="K30" s="53">
        <f t="shared" si="34"/>
        <v>0.3783621064781022</v>
      </c>
      <c r="L30" s="53">
        <f t="shared" si="34"/>
        <v>0.37060663202554744</v>
      </c>
      <c r="M30" s="53">
        <f t="shared" si="34"/>
        <v>0.37060663202554744</v>
      </c>
      <c r="N30" s="53">
        <f t="shared" si="34"/>
        <v>0.2930518875</v>
      </c>
      <c r="O30" s="53">
        <f t="shared" si="34"/>
        <v>0.25564312837591241</v>
      </c>
      <c r="P30" s="53"/>
      <c r="Q30" s="53">
        <f>+Q26/Q29</f>
        <v>0.34140955173357662</v>
      </c>
      <c r="R30" s="53">
        <f>+R26/R29</f>
        <v>0.35600809187956201</v>
      </c>
      <c r="S30" s="53">
        <f>+S26/S29</f>
        <v>0.38459689966545013</v>
      </c>
      <c r="T30" s="53">
        <f>+T26/T29</f>
        <v>0.18994969771897807</v>
      </c>
      <c r="U30" s="53"/>
      <c r="V30" s="53">
        <f>+V26/V29</f>
        <v>0.36421977071167883</v>
      </c>
      <c r="W30" s="53">
        <f>+W26/W29</f>
        <v>0.33912852983576641</v>
      </c>
      <c r="X30" s="53">
        <f>+X26/X29</f>
        <v>0.26750444224452552</v>
      </c>
      <c r="Y30" s="53"/>
      <c r="Z30" s="45"/>
      <c r="AA30" s="2"/>
    </row>
    <row r="31" spans="2:27" ht="12.6" customHeight="1" x14ac:dyDescent="0.3">
      <c r="B31" s="51" t="s">
        <v>257</v>
      </c>
      <c r="C31" s="6" t="str">
        <f t="shared" ref="C31:H31" si="35">IF(C30&lt;1,"OK","ＮＧ")</f>
        <v>OK</v>
      </c>
      <c r="D31" s="5" t="str">
        <f t="shared" si="35"/>
        <v>OK</v>
      </c>
      <c r="E31" s="5" t="str">
        <f t="shared" si="35"/>
        <v>OK</v>
      </c>
      <c r="F31" s="5" t="str">
        <f t="shared" si="35"/>
        <v>OK</v>
      </c>
      <c r="G31" s="5" t="str">
        <f t="shared" si="35"/>
        <v>OK</v>
      </c>
      <c r="H31" s="5" t="str">
        <f t="shared" si="35"/>
        <v>OK</v>
      </c>
      <c r="I31" s="5"/>
      <c r="J31" s="5" t="str">
        <f t="shared" ref="J31:O31" si="36">IF(J30&lt;1,"OK","ＮＧ")</f>
        <v>OK</v>
      </c>
      <c r="K31" s="5" t="str">
        <f t="shared" si="36"/>
        <v>OK</v>
      </c>
      <c r="L31" s="5" t="str">
        <f t="shared" si="36"/>
        <v>OK</v>
      </c>
      <c r="M31" s="5" t="str">
        <f t="shared" si="36"/>
        <v>OK</v>
      </c>
      <c r="N31" s="5" t="str">
        <f t="shared" si="36"/>
        <v>OK</v>
      </c>
      <c r="O31" s="5" t="str">
        <f t="shared" si="36"/>
        <v>OK</v>
      </c>
      <c r="P31" s="5"/>
      <c r="Q31" s="5" t="str">
        <f>IF(Q30&lt;1,"OK","ＮＧ")</f>
        <v>OK</v>
      </c>
      <c r="R31" s="5" t="str">
        <f>IF(R30&lt;1,"OK","ＮＧ")</f>
        <v>OK</v>
      </c>
      <c r="S31" s="5" t="str">
        <f>IF(S30&lt;1,"OK","ＮＧ")</f>
        <v>OK</v>
      </c>
      <c r="T31" s="5" t="str">
        <f>IF(T30&lt;1,"OK","ＮＧ")</f>
        <v>OK</v>
      </c>
      <c r="U31" s="5"/>
      <c r="V31" s="5" t="str">
        <f>IF(V30&lt;1,"OK","ＮＧ")</f>
        <v>OK</v>
      </c>
      <c r="W31" s="5" t="str">
        <f>IF(W30&lt;1,"OK","ＮＧ")</f>
        <v>OK</v>
      </c>
      <c r="X31" s="5" t="str">
        <f>IF(X30&lt;1,"OK","ＮＧ")</f>
        <v>OK</v>
      </c>
      <c r="Y31" s="5"/>
      <c r="Z31" s="45"/>
      <c r="AA31" s="2"/>
    </row>
    <row r="32" spans="2:27" ht="12.6" customHeight="1" x14ac:dyDescent="0.3">
      <c r="B32" s="79" t="s">
        <v>258</v>
      </c>
      <c r="C32" s="80"/>
      <c r="D32" s="5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11"/>
      <c r="Z32" s="45"/>
      <c r="AA32" s="2"/>
    </row>
    <row r="33" spans="2:27" ht="12.6" customHeight="1" x14ac:dyDescent="0.3">
      <c r="B33" s="81" t="s">
        <v>530</v>
      </c>
      <c r="C33" s="61">
        <f t="shared" ref="C33:H33" si="37">+C18+C21+C25</f>
        <v>250.18486869999998</v>
      </c>
      <c r="D33" s="62">
        <f t="shared" si="37"/>
        <v>418.18486869999998</v>
      </c>
      <c r="E33" s="62">
        <f t="shared" si="37"/>
        <v>370.18486869999998</v>
      </c>
      <c r="F33" s="62">
        <f t="shared" si="37"/>
        <v>345.18486869999998</v>
      </c>
      <c r="G33" s="62">
        <f t="shared" si="37"/>
        <v>340.18486869999998</v>
      </c>
      <c r="H33" s="62">
        <f t="shared" si="37"/>
        <v>262.18486869999998</v>
      </c>
      <c r="I33" s="62"/>
      <c r="J33" s="62">
        <f t="shared" ref="J33:O33" si="38">+J18+J21+J25</f>
        <v>520.27730305</v>
      </c>
      <c r="K33" s="62">
        <f t="shared" si="38"/>
        <v>829.36973739999996</v>
      </c>
      <c r="L33" s="62">
        <f t="shared" si="38"/>
        <v>609.27730305</v>
      </c>
      <c r="M33" s="62">
        <f t="shared" si="38"/>
        <v>609.27730305</v>
      </c>
      <c r="N33" s="62">
        <f t="shared" si="38"/>
        <v>321.18486869999998</v>
      </c>
      <c r="O33" s="62">
        <f t="shared" si="38"/>
        <v>280.18486869999998</v>
      </c>
      <c r="P33" s="62"/>
      <c r="Q33" s="62">
        <f>+Q18+Q21+Q25</f>
        <v>374.18486869999998</v>
      </c>
      <c r="R33" s="62">
        <f>+R18+R21+R25</f>
        <v>780.36973739999996</v>
      </c>
      <c r="S33" s="62">
        <f>+S18+S21+S25</f>
        <v>632.27730305</v>
      </c>
      <c r="T33" s="62">
        <f>+T18+T21+T25</f>
        <v>208.18486869999998</v>
      </c>
      <c r="U33" s="62"/>
      <c r="V33" s="62">
        <f>+V18+V21+V25</f>
        <v>399.18486869999998</v>
      </c>
      <c r="W33" s="62">
        <f>+W18+W21+W25</f>
        <v>743.36973739999996</v>
      </c>
      <c r="X33" s="62">
        <f>+X18+X21+X25</f>
        <v>293.18486869999998</v>
      </c>
      <c r="Y33" s="62"/>
      <c r="Z33" s="82" t="s">
        <v>531</v>
      </c>
      <c r="AA33" s="2"/>
    </row>
    <row r="34" spans="2:27" ht="12.6" customHeight="1" x14ac:dyDescent="0.3">
      <c r="B34" s="81" t="s">
        <v>532</v>
      </c>
      <c r="C34" s="72">
        <f t="shared" ref="C34:H34" si="39">+C18-C21+C25</f>
        <v>214.18486869999998</v>
      </c>
      <c r="D34" s="52">
        <f t="shared" si="39"/>
        <v>396.18486869999998</v>
      </c>
      <c r="E34" s="52">
        <f t="shared" si="39"/>
        <v>344.18486869999998</v>
      </c>
      <c r="F34" s="52">
        <f t="shared" si="39"/>
        <v>331.18486869999998</v>
      </c>
      <c r="G34" s="52">
        <f t="shared" si="39"/>
        <v>314.18486869999998</v>
      </c>
      <c r="H34" s="52">
        <f t="shared" si="39"/>
        <v>238.18486869999998</v>
      </c>
      <c r="I34" s="52"/>
      <c r="J34" s="52">
        <f t="shared" ref="J34:O34" si="40">+J18-J21+J25</f>
        <v>434.27730305</v>
      </c>
      <c r="K34" s="52">
        <f t="shared" si="40"/>
        <v>747.36973739999996</v>
      </c>
      <c r="L34" s="52">
        <f t="shared" si="40"/>
        <v>597.27730305</v>
      </c>
      <c r="M34" s="52">
        <f t="shared" si="40"/>
        <v>457.27730305</v>
      </c>
      <c r="N34" s="52">
        <f t="shared" si="40"/>
        <v>299.18486869999998</v>
      </c>
      <c r="O34" s="52">
        <f t="shared" si="40"/>
        <v>248.18486869999998</v>
      </c>
      <c r="P34" s="52"/>
      <c r="Q34" s="52">
        <f>+Q18-Q21+Q25</f>
        <v>336.18486869999998</v>
      </c>
      <c r="R34" s="52">
        <f>+R18-R21+R25</f>
        <v>692.36973739999996</v>
      </c>
      <c r="S34" s="52">
        <f>+S18-S21+S25</f>
        <v>486.27730305</v>
      </c>
      <c r="T34" s="52">
        <f>+T18-T21+T25</f>
        <v>40.184868699999996</v>
      </c>
      <c r="U34" s="52"/>
      <c r="V34" s="52">
        <f>+V18-V21+V25</f>
        <v>329.18486869999998</v>
      </c>
      <c r="W34" s="52">
        <f>+W18-W21+W25</f>
        <v>633.36973739999996</v>
      </c>
      <c r="X34" s="52">
        <f>+X18-X21+X25</f>
        <v>145.18486869999998</v>
      </c>
      <c r="Y34" s="52"/>
      <c r="Z34" s="54" t="s">
        <v>533</v>
      </c>
      <c r="AA34" s="2"/>
    </row>
    <row r="35" spans="2:27" ht="12.6" customHeight="1" x14ac:dyDescent="0.3">
      <c r="B35" s="81" t="s">
        <v>534</v>
      </c>
      <c r="C35" s="72">
        <f t="shared" ref="C35:H35" si="41">+C26/C28</f>
        <v>125.09243434999999</v>
      </c>
      <c r="D35" s="52">
        <f t="shared" si="41"/>
        <v>209.09243434999999</v>
      </c>
      <c r="E35" s="52">
        <f t="shared" si="41"/>
        <v>185.09243434999999</v>
      </c>
      <c r="F35" s="52">
        <f t="shared" si="41"/>
        <v>172.59243434999999</v>
      </c>
      <c r="G35" s="52">
        <f t="shared" si="41"/>
        <v>170.09243434999999</v>
      </c>
      <c r="H35" s="52">
        <f t="shared" si="41"/>
        <v>131.09243434999999</v>
      </c>
      <c r="I35" s="52"/>
      <c r="J35" s="52">
        <f t="shared" ref="J35:O35" si="42">+J26/J28</f>
        <v>173.42576768333333</v>
      </c>
      <c r="K35" s="52">
        <f t="shared" si="42"/>
        <v>207.34243434999999</v>
      </c>
      <c r="L35" s="52">
        <f t="shared" si="42"/>
        <v>203.09243434999999</v>
      </c>
      <c r="M35" s="52">
        <f t="shared" si="42"/>
        <v>203.09243434999999</v>
      </c>
      <c r="N35" s="52">
        <f t="shared" si="42"/>
        <v>160.59243434999999</v>
      </c>
      <c r="O35" s="52">
        <f t="shared" si="42"/>
        <v>140.09243434999999</v>
      </c>
      <c r="P35" s="52"/>
      <c r="Q35" s="52">
        <f>+Q26/Q28</f>
        <v>187.09243434999999</v>
      </c>
      <c r="R35" s="52">
        <f>+R26/R28</f>
        <v>195.09243434999999</v>
      </c>
      <c r="S35" s="52">
        <f>+S26/S28</f>
        <v>210.75910101666668</v>
      </c>
      <c r="T35" s="52">
        <f>+T26/T28</f>
        <v>104.09243434999999</v>
      </c>
      <c r="U35" s="52"/>
      <c r="V35" s="52">
        <f>+V26/V28</f>
        <v>199.59243434999999</v>
      </c>
      <c r="W35" s="52">
        <f>+W26/W28</f>
        <v>185.84243434999999</v>
      </c>
      <c r="X35" s="52">
        <f>+X26/X28</f>
        <v>146.59243434999999</v>
      </c>
      <c r="Y35" s="52"/>
      <c r="Z35" s="83">
        <f>MAX(C35:Y35)</f>
        <v>210.75910101666668</v>
      </c>
      <c r="AA35" s="2"/>
    </row>
    <row r="36" spans="2:27" ht="12.6" customHeight="1" x14ac:dyDescent="0.3">
      <c r="B36" s="79" t="s">
        <v>535</v>
      </c>
      <c r="C36" s="84">
        <f t="shared" ref="C36:H36" si="43">+C34/C28</f>
        <v>107.09243434999999</v>
      </c>
      <c r="D36" s="85">
        <f t="shared" si="43"/>
        <v>198.09243434999999</v>
      </c>
      <c r="E36" s="85">
        <f t="shared" si="43"/>
        <v>172.09243434999999</v>
      </c>
      <c r="F36" s="85">
        <f t="shared" si="43"/>
        <v>165.59243434999999</v>
      </c>
      <c r="G36" s="85">
        <f t="shared" si="43"/>
        <v>157.09243434999999</v>
      </c>
      <c r="H36" s="85">
        <f t="shared" si="43"/>
        <v>119.09243434999999</v>
      </c>
      <c r="I36" s="85"/>
      <c r="J36" s="85">
        <f t="shared" ref="J36:O36" si="44">+J34/J28</f>
        <v>144.75910101666668</v>
      </c>
      <c r="K36" s="85">
        <f t="shared" si="44"/>
        <v>186.84243434999999</v>
      </c>
      <c r="L36" s="85">
        <f t="shared" si="44"/>
        <v>199.09243434999999</v>
      </c>
      <c r="M36" s="85">
        <f t="shared" si="44"/>
        <v>152.42576768333333</v>
      </c>
      <c r="N36" s="85">
        <f t="shared" si="44"/>
        <v>149.59243434999999</v>
      </c>
      <c r="O36" s="85">
        <f t="shared" si="44"/>
        <v>124.09243434999999</v>
      </c>
      <c r="P36" s="85"/>
      <c r="Q36" s="85">
        <f>+Q34/Q28</f>
        <v>168.09243434999999</v>
      </c>
      <c r="R36" s="85">
        <f>+R34/R28</f>
        <v>173.09243434999999</v>
      </c>
      <c r="S36" s="85">
        <f>+S34/S28</f>
        <v>162.09243434999999</v>
      </c>
      <c r="T36" s="85">
        <f>+T34/T28</f>
        <v>20.092434349999998</v>
      </c>
      <c r="U36" s="85"/>
      <c r="V36" s="85">
        <f>+V34/V28</f>
        <v>164.59243434999999</v>
      </c>
      <c r="W36" s="85">
        <f>+W34/W28</f>
        <v>158.34243434999999</v>
      </c>
      <c r="X36" s="85">
        <f>+X34/X28</f>
        <v>72.592434349999991</v>
      </c>
      <c r="Y36" s="85"/>
      <c r="Z36" s="86">
        <f>MIN(C36:Y36)</f>
        <v>20.092434349999998</v>
      </c>
      <c r="AA36" s="2"/>
    </row>
    <row r="37" spans="2:27" ht="12.6" customHeight="1" x14ac:dyDescent="0.3">
      <c r="B37" s="18" t="s">
        <v>536</v>
      </c>
      <c r="C37" s="2" t="s">
        <v>260</v>
      </c>
      <c r="F37" s="18" t="s">
        <v>537</v>
      </c>
      <c r="G37" s="2" t="s">
        <v>261</v>
      </c>
      <c r="K37" s="18" t="s">
        <v>538</v>
      </c>
      <c r="L37" s="2" t="s">
        <v>262</v>
      </c>
      <c r="N37" s="4"/>
      <c r="O37" s="4"/>
      <c r="P37" s="87" t="s">
        <v>539</v>
      </c>
      <c r="Q37" s="88" t="s">
        <v>540</v>
      </c>
      <c r="R37" s="8"/>
    </row>
    <row r="38" spans="2:27" ht="12.6" customHeight="1" x14ac:dyDescent="0.3">
      <c r="B38" s="18" t="s">
        <v>541</v>
      </c>
      <c r="C38" s="2" t="s">
        <v>265</v>
      </c>
      <c r="F38" s="18" t="s">
        <v>542</v>
      </c>
      <c r="G38" s="2" t="s">
        <v>266</v>
      </c>
      <c r="K38" s="18" t="s">
        <v>543</v>
      </c>
      <c r="L38" s="2" t="s">
        <v>267</v>
      </c>
      <c r="P38" s="87" t="s">
        <v>544</v>
      </c>
      <c r="Q38" s="88" t="s">
        <v>545</v>
      </c>
    </row>
    <row r="39" spans="2:27" ht="12.6" customHeight="1" x14ac:dyDescent="0.3">
      <c r="B39" s="18" t="s">
        <v>546</v>
      </c>
      <c r="C39" s="2" t="s">
        <v>270</v>
      </c>
      <c r="G39" s="18"/>
      <c r="K39" s="89" t="s">
        <v>547</v>
      </c>
      <c r="L39" s="2" t="s">
        <v>271</v>
      </c>
      <c r="O39" s="18"/>
    </row>
  </sheetData>
  <phoneticPr fontId="2"/>
  <pageMargins left="0.19685039370078741" right="0.19685039370078741" top="0.98425196850393704" bottom="0.78740157480314965" header="0.51181102362204722" footer="0.51181102362204722"/>
  <pageSetup paperSize="9" orientation="landscape" horizontalDpi="400" verticalDpi="400" r:id="rId1"/>
  <headerFooter alignWithMargins="0">
    <oddFooter>&amp;C&amp;1#&amp;"Calibri"&amp;10&amp;K000000Confidential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P39"/>
  <sheetViews>
    <sheetView zoomScale="75" workbookViewId="0">
      <selection activeCell="C7" sqref="C7"/>
    </sheetView>
  </sheetViews>
  <sheetFormatPr defaultColWidth="9" defaultRowHeight="12.6" customHeight="1" x14ac:dyDescent="0.3"/>
  <cols>
    <col min="1" max="1" width="11.62890625" style="2" customWidth="1"/>
    <col min="2" max="41" width="6.26171875" style="2" customWidth="1"/>
    <col min="42" max="42" width="6.26171875" style="37" customWidth="1"/>
    <col min="43" max="43" width="6.26171875" style="2" customWidth="1"/>
    <col min="44" max="16384" width="9" style="2"/>
  </cols>
  <sheetData>
    <row r="1" spans="1:42" ht="12.6" customHeight="1" x14ac:dyDescent="0.3">
      <c r="A1" s="2" t="s">
        <v>248</v>
      </c>
    </row>
    <row r="3" spans="1:42" ht="12.6" customHeight="1" x14ac:dyDescent="0.3">
      <c r="A3" s="2" t="s">
        <v>249</v>
      </c>
    </row>
    <row r="4" spans="1:42" ht="12.6" customHeight="1" x14ac:dyDescent="0.3">
      <c r="A4" s="38"/>
      <c r="B4" s="39"/>
      <c r="C4" s="40" t="s">
        <v>591</v>
      </c>
      <c r="D4" s="40" t="s">
        <v>592</v>
      </c>
      <c r="E4" s="40" t="s">
        <v>593</v>
      </c>
      <c r="F4" s="40" t="s">
        <v>594</v>
      </c>
      <c r="G4" s="40" t="s">
        <v>595</v>
      </c>
      <c r="H4" s="40"/>
      <c r="I4" s="40" t="s">
        <v>596</v>
      </c>
      <c r="J4" s="40" t="s">
        <v>597</v>
      </c>
      <c r="K4" s="40" t="s">
        <v>598</v>
      </c>
      <c r="L4" s="40" t="s">
        <v>599</v>
      </c>
      <c r="M4" s="40" t="s">
        <v>600</v>
      </c>
      <c r="N4" s="40" t="s">
        <v>601</v>
      </c>
      <c r="O4" s="40" t="s">
        <v>602</v>
      </c>
      <c r="P4" s="40"/>
      <c r="Q4" s="40" t="s">
        <v>603</v>
      </c>
      <c r="R4" s="40" t="s">
        <v>604</v>
      </c>
      <c r="S4" s="40" t="s">
        <v>605</v>
      </c>
      <c r="T4" s="40" t="s">
        <v>606</v>
      </c>
      <c r="U4" s="40" t="s">
        <v>607</v>
      </c>
      <c r="V4" s="40" t="s">
        <v>608</v>
      </c>
      <c r="W4" s="40" t="s">
        <v>609</v>
      </c>
      <c r="X4" s="40"/>
      <c r="Y4" s="40" t="s">
        <v>610</v>
      </c>
      <c r="Z4" s="40" t="s">
        <v>611</v>
      </c>
      <c r="AA4" s="40" t="s">
        <v>612</v>
      </c>
      <c r="AB4" s="40" t="s">
        <v>613</v>
      </c>
      <c r="AC4" s="40" t="s">
        <v>614</v>
      </c>
      <c r="AD4" s="40" t="s">
        <v>615</v>
      </c>
      <c r="AE4" s="40" t="s">
        <v>616</v>
      </c>
      <c r="AF4" s="40"/>
      <c r="AG4" s="40" t="s">
        <v>617</v>
      </c>
      <c r="AH4" s="40" t="s">
        <v>618</v>
      </c>
      <c r="AI4" s="40" t="s">
        <v>619</v>
      </c>
      <c r="AJ4" s="40" t="s">
        <v>620</v>
      </c>
      <c r="AK4" s="40" t="s">
        <v>621</v>
      </c>
      <c r="AL4" s="40" t="s">
        <v>622</v>
      </c>
      <c r="AM4" s="40" t="s">
        <v>623</v>
      </c>
      <c r="AN4" s="40"/>
      <c r="AO4" s="139" t="s">
        <v>250</v>
      </c>
      <c r="AP4" s="2"/>
    </row>
    <row r="5" spans="1:42" ht="12.6" customHeight="1" x14ac:dyDescent="0.3">
      <c r="A5" s="41" t="s">
        <v>53</v>
      </c>
      <c r="B5" s="100"/>
      <c r="C5" s="101">
        <v>640.9</v>
      </c>
      <c r="D5" s="101">
        <v>1013.4</v>
      </c>
      <c r="E5" s="101">
        <v>778.7</v>
      </c>
      <c r="F5" s="101">
        <v>820.7</v>
      </c>
      <c r="G5" s="101">
        <v>566.70000000000005</v>
      </c>
      <c r="H5" s="101"/>
      <c r="I5" s="101">
        <v>458.2</v>
      </c>
      <c r="J5" s="101">
        <v>1846.6</v>
      </c>
      <c r="K5" s="101">
        <v>2180.6</v>
      </c>
      <c r="L5" s="101">
        <v>1763</v>
      </c>
      <c r="M5" s="101">
        <v>1623.1</v>
      </c>
      <c r="N5" s="101">
        <v>1225.4000000000001</v>
      </c>
      <c r="O5" s="101">
        <v>392.2</v>
      </c>
      <c r="P5" s="101"/>
      <c r="Q5" s="101">
        <v>991.7</v>
      </c>
      <c r="R5" s="101">
        <v>2445</v>
      </c>
      <c r="S5" s="101">
        <v>2507.6999999999998</v>
      </c>
      <c r="T5" s="101">
        <v>2289.8000000000002</v>
      </c>
      <c r="U5" s="101">
        <v>1681</v>
      </c>
      <c r="V5" s="101">
        <v>1342.2</v>
      </c>
      <c r="W5" s="101">
        <v>834.3</v>
      </c>
      <c r="X5" s="101"/>
      <c r="Y5" s="101">
        <v>955.7</v>
      </c>
      <c r="Z5" s="101">
        <v>1874.3</v>
      </c>
      <c r="AA5" s="101">
        <v>2055.6</v>
      </c>
      <c r="AB5" s="101">
        <v>2120.1999999999998</v>
      </c>
      <c r="AC5" s="101">
        <v>1733.7</v>
      </c>
      <c r="AD5" s="101">
        <v>1456.2</v>
      </c>
      <c r="AE5" s="101">
        <v>866</v>
      </c>
      <c r="AF5" s="101"/>
      <c r="AG5" s="101">
        <v>703.1</v>
      </c>
      <c r="AH5" s="101">
        <v>1325.1</v>
      </c>
      <c r="AI5" s="101">
        <v>1177.3</v>
      </c>
      <c r="AJ5" s="101">
        <v>1172.2</v>
      </c>
      <c r="AK5" s="101">
        <v>892.7</v>
      </c>
      <c r="AL5" s="101">
        <v>806</v>
      </c>
      <c r="AM5" s="101">
        <v>399.3</v>
      </c>
      <c r="AN5" s="101"/>
      <c r="AO5" s="42">
        <f>SUM(B5:AN5)</f>
        <v>42938.599999999991</v>
      </c>
      <c r="AP5" s="2"/>
    </row>
    <row r="6" spans="1:42" ht="12.6" customHeight="1" x14ac:dyDescent="0.3">
      <c r="A6" s="43" t="s">
        <v>54</v>
      </c>
      <c r="B6" s="44"/>
      <c r="C6" s="44">
        <f>1.5*1.5</f>
        <v>2.25</v>
      </c>
      <c r="D6" s="44">
        <f t="shared" ref="D6:AM6" si="0">1.5*1.5</f>
        <v>2.25</v>
      </c>
      <c r="E6" s="44">
        <f t="shared" si="0"/>
        <v>2.25</v>
      </c>
      <c r="F6" s="44">
        <f t="shared" si="0"/>
        <v>2.25</v>
      </c>
      <c r="G6" s="44">
        <f t="shared" si="0"/>
        <v>2.25</v>
      </c>
      <c r="H6" s="44"/>
      <c r="I6" s="44">
        <f t="shared" si="0"/>
        <v>2.25</v>
      </c>
      <c r="J6" s="44">
        <f t="shared" si="0"/>
        <v>2.25</v>
      </c>
      <c r="K6" s="44">
        <f t="shared" si="0"/>
        <v>2.25</v>
      </c>
      <c r="L6" s="44">
        <f t="shared" si="0"/>
        <v>2.25</v>
      </c>
      <c r="M6" s="44">
        <f t="shared" si="0"/>
        <v>2.25</v>
      </c>
      <c r="N6" s="44">
        <f t="shared" si="0"/>
        <v>2.25</v>
      </c>
      <c r="O6" s="44">
        <f t="shared" si="0"/>
        <v>2.25</v>
      </c>
      <c r="P6" s="44"/>
      <c r="Q6" s="44">
        <f t="shared" si="0"/>
        <v>2.25</v>
      </c>
      <c r="R6" s="44">
        <f t="shared" si="0"/>
        <v>2.25</v>
      </c>
      <c r="S6" s="44">
        <f t="shared" si="0"/>
        <v>2.25</v>
      </c>
      <c r="T6" s="44">
        <f t="shared" si="0"/>
        <v>2.25</v>
      </c>
      <c r="U6" s="44">
        <f t="shared" si="0"/>
        <v>2.25</v>
      </c>
      <c r="V6" s="44">
        <f t="shared" si="0"/>
        <v>2.25</v>
      </c>
      <c r="W6" s="44">
        <v>1</v>
      </c>
      <c r="X6" s="44"/>
      <c r="Y6" s="44">
        <f t="shared" si="0"/>
        <v>2.25</v>
      </c>
      <c r="Z6" s="44">
        <f t="shared" si="0"/>
        <v>2.25</v>
      </c>
      <c r="AA6" s="44">
        <f t="shared" si="0"/>
        <v>2.25</v>
      </c>
      <c r="AB6" s="44">
        <f t="shared" si="0"/>
        <v>2.25</v>
      </c>
      <c r="AC6" s="44">
        <f t="shared" si="0"/>
        <v>2.25</v>
      </c>
      <c r="AD6" s="44">
        <f t="shared" si="0"/>
        <v>2.25</v>
      </c>
      <c r="AE6" s="44">
        <f t="shared" si="0"/>
        <v>2.25</v>
      </c>
      <c r="AF6" s="44"/>
      <c r="AG6" s="44">
        <f t="shared" si="0"/>
        <v>2.25</v>
      </c>
      <c r="AH6" s="44">
        <f t="shared" si="0"/>
        <v>2.25</v>
      </c>
      <c r="AI6" s="44">
        <f t="shared" si="0"/>
        <v>2.25</v>
      </c>
      <c r="AJ6" s="44">
        <f t="shared" si="0"/>
        <v>2.25</v>
      </c>
      <c r="AK6" s="44">
        <f t="shared" si="0"/>
        <v>2.25</v>
      </c>
      <c r="AL6" s="44">
        <f t="shared" si="0"/>
        <v>2.25</v>
      </c>
      <c r="AM6" s="44">
        <f t="shared" si="0"/>
        <v>2.25</v>
      </c>
      <c r="AN6" s="44"/>
      <c r="AO6" s="45"/>
      <c r="AP6" s="2"/>
    </row>
    <row r="7" spans="1:42" ht="12.6" customHeight="1" x14ac:dyDescent="0.3">
      <c r="A7" s="43" t="s">
        <v>55</v>
      </c>
      <c r="B7" s="46"/>
      <c r="C7" s="46">
        <v>1.4</v>
      </c>
      <c r="D7" s="46">
        <v>1.4</v>
      </c>
      <c r="E7" s="46">
        <v>1.4</v>
      </c>
      <c r="F7" s="46">
        <v>1.4</v>
      </c>
      <c r="G7" s="46">
        <v>1.4</v>
      </c>
      <c r="H7" s="46">
        <v>1.4</v>
      </c>
      <c r="I7" s="46">
        <v>1.4</v>
      </c>
      <c r="J7" s="46">
        <v>1.4</v>
      </c>
      <c r="K7" s="46">
        <v>1.4</v>
      </c>
      <c r="L7" s="46">
        <v>1.4</v>
      </c>
      <c r="M7" s="46">
        <v>1.4</v>
      </c>
      <c r="N7" s="46">
        <v>1.4</v>
      </c>
      <c r="O7" s="46">
        <v>1.4</v>
      </c>
      <c r="P7" s="46">
        <v>1.4</v>
      </c>
      <c r="Q7" s="46">
        <v>1.4</v>
      </c>
      <c r="R7" s="46">
        <v>1.4</v>
      </c>
      <c r="S7" s="46">
        <v>1.4</v>
      </c>
      <c r="T7" s="46">
        <v>1.4</v>
      </c>
      <c r="U7" s="46">
        <v>1.4</v>
      </c>
      <c r="V7" s="46">
        <v>1.4</v>
      </c>
      <c r="W7" s="46">
        <v>1.4</v>
      </c>
      <c r="X7" s="46">
        <v>1.4</v>
      </c>
      <c r="Y7" s="46">
        <v>1.4</v>
      </c>
      <c r="Z7" s="46">
        <v>1.4</v>
      </c>
      <c r="AA7" s="46">
        <v>1.4</v>
      </c>
      <c r="AB7" s="46">
        <v>1.4</v>
      </c>
      <c r="AC7" s="46">
        <v>1.4</v>
      </c>
      <c r="AD7" s="46">
        <v>1.4</v>
      </c>
      <c r="AE7" s="46">
        <v>1.4</v>
      </c>
      <c r="AF7" s="46">
        <v>1.4</v>
      </c>
      <c r="AG7" s="46">
        <v>1.4</v>
      </c>
      <c r="AH7" s="46">
        <v>1.4</v>
      </c>
      <c r="AI7" s="46">
        <v>1.4</v>
      </c>
      <c r="AJ7" s="46">
        <v>1.4</v>
      </c>
      <c r="AK7" s="46">
        <v>1.4</v>
      </c>
      <c r="AL7" s="46">
        <v>1.4</v>
      </c>
      <c r="AM7" s="46">
        <v>1.4</v>
      </c>
      <c r="AN7" s="46"/>
      <c r="AO7" s="45"/>
      <c r="AP7" s="2"/>
    </row>
    <row r="8" spans="1:42" ht="12.6" customHeight="1" x14ac:dyDescent="0.3">
      <c r="A8" s="47" t="s">
        <v>251</v>
      </c>
      <c r="B8" s="48"/>
      <c r="C8" s="48">
        <f>+C6*C7*20</f>
        <v>63</v>
      </c>
      <c r="D8" s="48">
        <f t="shared" ref="D8:I8" si="1">+D6*D7*20</f>
        <v>63</v>
      </c>
      <c r="E8" s="48">
        <f t="shared" si="1"/>
        <v>63</v>
      </c>
      <c r="F8" s="48">
        <f t="shared" si="1"/>
        <v>63</v>
      </c>
      <c r="G8" s="48">
        <f t="shared" si="1"/>
        <v>63</v>
      </c>
      <c r="H8" s="48"/>
      <c r="I8" s="48">
        <f t="shared" si="1"/>
        <v>63</v>
      </c>
      <c r="J8" s="48">
        <f t="shared" ref="J8:O8" si="2">+J6*J7*20</f>
        <v>63</v>
      </c>
      <c r="K8" s="48">
        <f t="shared" si="2"/>
        <v>63</v>
      </c>
      <c r="L8" s="48">
        <f t="shared" si="2"/>
        <v>63</v>
      </c>
      <c r="M8" s="48">
        <f t="shared" si="2"/>
        <v>63</v>
      </c>
      <c r="N8" s="48">
        <f t="shared" si="2"/>
        <v>63</v>
      </c>
      <c r="O8" s="48">
        <f t="shared" si="2"/>
        <v>63</v>
      </c>
      <c r="P8" s="48"/>
      <c r="Q8" s="48">
        <f t="shared" ref="Q8:V8" si="3">+Q6*Q7*20</f>
        <v>63</v>
      </c>
      <c r="R8" s="48">
        <f t="shared" si="3"/>
        <v>63</v>
      </c>
      <c r="S8" s="48">
        <f t="shared" si="3"/>
        <v>63</v>
      </c>
      <c r="T8" s="48">
        <f t="shared" si="3"/>
        <v>63</v>
      </c>
      <c r="U8" s="48">
        <f t="shared" si="3"/>
        <v>63</v>
      </c>
      <c r="V8" s="48">
        <f t="shared" si="3"/>
        <v>63</v>
      </c>
      <c r="W8" s="48">
        <f>+W6*W7*24</f>
        <v>33.599999999999994</v>
      </c>
      <c r="X8" s="48"/>
      <c r="Y8" s="48">
        <f t="shared" ref="Y8:AE8" si="4">+Y6*Y7*20</f>
        <v>63</v>
      </c>
      <c r="Z8" s="48">
        <f t="shared" si="4"/>
        <v>63</v>
      </c>
      <c r="AA8" s="48">
        <f t="shared" si="4"/>
        <v>63</v>
      </c>
      <c r="AB8" s="48">
        <f t="shared" si="4"/>
        <v>63</v>
      </c>
      <c r="AC8" s="48">
        <f t="shared" si="4"/>
        <v>63</v>
      </c>
      <c r="AD8" s="48">
        <f t="shared" si="4"/>
        <v>63</v>
      </c>
      <c r="AE8" s="48">
        <f t="shared" si="4"/>
        <v>63</v>
      </c>
      <c r="AF8" s="48"/>
      <c r="AG8" s="48">
        <f t="shared" ref="AG8:AM8" si="5">+AG6*AG7*20</f>
        <v>63</v>
      </c>
      <c r="AH8" s="48">
        <f t="shared" si="5"/>
        <v>63</v>
      </c>
      <c r="AI8" s="48">
        <f t="shared" si="5"/>
        <v>63</v>
      </c>
      <c r="AJ8" s="48">
        <f t="shared" si="5"/>
        <v>63</v>
      </c>
      <c r="AK8" s="48">
        <f t="shared" si="5"/>
        <v>63</v>
      </c>
      <c r="AL8" s="48">
        <f t="shared" si="5"/>
        <v>63</v>
      </c>
      <c r="AM8" s="48">
        <f t="shared" si="5"/>
        <v>63</v>
      </c>
      <c r="AN8" s="48"/>
      <c r="AO8" s="140">
        <f>SUM(B8:AN8)</f>
        <v>2049.6</v>
      </c>
      <c r="AP8" s="2"/>
    </row>
    <row r="9" spans="1:42" ht="12.6" customHeight="1" x14ac:dyDescent="0.3">
      <c r="A9" s="47" t="s">
        <v>252</v>
      </c>
      <c r="B9" s="48"/>
      <c r="C9" s="48">
        <f>C8+C5</f>
        <v>703.9</v>
      </c>
      <c r="D9" s="48">
        <f>D8+D5</f>
        <v>1076.4000000000001</v>
      </c>
      <c r="E9" s="48">
        <f>E8+E5</f>
        <v>841.7</v>
      </c>
      <c r="F9" s="48">
        <f>F8+F5</f>
        <v>883.7</v>
      </c>
      <c r="G9" s="48">
        <f>G8+G5</f>
        <v>629.70000000000005</v>
      </c>
      <c r="H9" s="48"/>
      <c r="I9" s="48">
        <f t="shared" ref="I9:O9" si="6">I8+I5</f>
        <v>521.20000000000005</v>
      </c>
      <c r="J9" s="48">
        <f t="shared" si="6"/>
        <v>1909.6</v>
      </c>
      <c r="K9" s="48">
        <f t="shared" si="6"/>
        <v>2243.6</v>
      </c>
      <c r="L9" s="48">
        <f t="shared" si="6"/>
        <v>1826</v>
      </c>
      <c r="M9" s="48">
        <f t="shared" si="6"/>
        <v>1686.1</v>
      </c>
      <c r="N9" s="48">
        <f t="shared" si="6"/>
        <v>1288.4000000000001</v>
      </c>
      <c r="O9" s="48">
        <f t="shared" si="6"/>
        <v>455.2</v>
      </c>
      <c r="P9" s="48"/>
      <c r="Q9" s="48">
        <f t="shared" ref="Q9:V9" si="7">Q8+Q5</f>
        <v>1054.7</v>
      </c>
      <c r="R9" s="48">
        <f t="shared" si="7"/>
        <v>2508</v>
      </c>
      <c r="S9" s="48">
        <f t="shared" si="7"/>
        <v>2570.6999999999998</v>
      </c>
      <c r="T9" s="48">
        <f t="shared" si="7"/>
        <v>2352.8000000000002</v>
      </c>
      <c r="U9" s="48">
        <f t="shared" si="7"/>
        <v>1744</v>
      </c>
      <c r="V9" s="48">
        <f t="shared" si="7"/>
        <v>1405.2</v>
      </c>
      <c r="W9" s="48">
        <f>W8+W5</f>
        <v>867.9</v>
      </c>
      <c r="X9" s="48"/>
      <c r="Y9" s="48">
        <f t="shared" ref="Y9:AE9" si="8">Y8+Y5</f>
        <v>1018.7</v>
      </c>
      <c r="Z9" s="48">
        <f t="shared" si="8"/>
        <v>1937.3</v>
      </c>
      <c r="AA9" s="48">
        <f t="shared" si="8"/>
        <v>2118.6</v>
      </c>
      <c r="AB9" s="48">
        <f t="shared" si="8"/>
        <v>2183.1999999999998</v>
      </c>
      <c r="AC9" s="48">
        <f t="shared" si="8"/>
        <v>1796.7</v>
      </c>
      <c r="AD9" s="48">
        <f t="shared" si="8"/>
        <v>1519.2</v>
      </c>
      <c r="AE9" s="48">
        <f t="shared" si="8"/>
        <v>929</v>
      </c>
      <c r="AF9" s="48"/>
      <c r="AG9" s="48">
        <f t="shared" ref="AG9:AM9" si="9">AG8+AG5</f>
        <v>766.1</v>
      </c>
      <c r="AH9" s="48">
        <f t="shared" si="9"/>
        <v>1388.1</v>
      </c>
      <c r="AI9" s="48">
        <f t="shared" si="9"/>
        <v>1240.3</v>
      </c>
      <c r="AJ9" s="48">
        <f t="shared" si="9"/>
        <v>1235.2</v>
      </c>
      <c r="AK9" s="48">
        <f t="shared" si="9"/>
        <v>955.7</v>
      </c>
      <c r="AL9" s="48">
        <f t="shared" si="9"/>
        <v>869</v>
      </c>
      <c r="AM9" s="48">
        <f t="shared" si="9"/>
        <v>462.3</v>
      </c>
      <c r="AN9" s="48"/>
      <c r="AO9" s="140">
        <f>SUM(B9:AN9)</f>
        <v>44988.19999999999</v>
      </c>
      <c r="AP9" s="2"/>
    </row>
    <row r="10" spans="1:42" ht="12.6" customHeight="1" x14ac:dyDescent="0.3">
      <c r="A10" s="43" t="s">
        <v>253</v>
      </c>
      <c r="B10" s="101"/>
      <c r="C10" s="101">
        <v>1300</v>
      </c>
      <c r="D10" s="101">
        <v>1300</v>
      </c>
      <c r="E10" s="101">
        <v>1300</v>
      </c>
      <c r="F10" s="101">
        <v>1300</v>
      </c>
      <c r="G10" s="101">
        <v>1300</v>
      </c>
      <c r="H10" s="101"/>
      <c r="I10" s="101">
        <v>1300</v>
      </c>
      <c r="J10" s="101">
        <v>2500</v>
      </c>
      <c r="K10" s="101">
        <v>2500</v>
      </c>
      <c r="L10" s="101">
        <v>2500</v>
      </c>
      <c r="M10" s="101">
        <v>1800</v>
      </c>
      <c r="N10" s="101">
        <v>1300</v>
      </c>
      <c r="O10" s="101">
        <v>1300</v>
      </c>
      <c r="P10" s="101"/>
      <c r="Q10" s="101">
        <v>1300</v>
      </c>
      <c r="R10" s="101">
        <v>2600</v>
      </c>
      <c r="S10" s="101">
        <v>2600</v>
      </c>
      <c r="T10" s="101">
        <v>2500</v>
      </c>
      <c r="U10" s="101">
        <v>1800</v>
      </c>
      <c r="V10" s="101">
        <v>1800</v>
      </c>
      <c r="W10" s="101">
        <v>1300</v>
      </c>
      <c r="X10" s="101"/>
      <c r="Y10" s="101">
        <v>1300</v>
      </c>
      <c r="Z10" s="101">
        <v>2500</v>
      </c>
      <c r="AA10" s="101">
        <v>2500</v>
      </c>
      <c r="AB10" s="101">
        <v>2500</v>
      </c>
      <c r="AC10" s="101">
        <v>2500</v>
      </c>
      <c r="AD10" s="101">
        <v>1800</v>
      </c>
      <c r="AE10" s="101">
        <v>1300</v>
      </c>
      <c r="AF10" s="101"/>
      <c r="AG10" s="101">
        <v>1300</v>
      </c>
      <c r="AH10" s="101">
        <v>1800</v>
      </c>
      <c r="AI10" s="101">
        <v>1300</v>
      </c>
      <c r="AJ10" s="101">
        <v>1300</v>
      </c>
      <c r="AK10" s="101">
        <v>1300</v>
      </c>
      <c r="AL10" s="101">
        <v>1300</v>
      </c>
      <c r="AM10" s="101">
        <v>1300</v>
      </c>
      <c r="AN10" s="101"/>
      <c r="AO10" s="45"/>
      <c r="AP10" s="2"/>
    </row>
    <row r="11" spans="1:42" ht="12.6" customHeight="1" x14ac:dyDescent="0.3">
      <c r="A11" s="49" t="s">
        <v>254</v>
      </c>
      <c r="B11" s="50"/>
      <c r="C11" s="50">
        <v>1</v>
      </c>
      <c r="D11" s="50">
        <v>1</v>
      </c>
      <c r="E11" s="50">
        <v>1</v>
      </c>
      <c r="F11" s="50">
        <v>1</v>
      </c>
      <c r="G11" s="50">
        <v>1</v>
      </c>
      <c r="H11" s="50"/>
      <c r="I11" s="50">
        <v>1</v>
      </c>
      <c r="J11" s="50">
        <v>1</v>
      </c>
      <c r="K11" s="50">
        <v>1</v>
      </c>
      <c r="L11" s="50">
        <v>1</v>
      </c>
      <c r="M11" s="50">
        <v>1</v>
      </c>
      <c r="N11" s="50">
        <v>1</v>
      </c>
      <c r="O11" s="50">
        <v>1</v>
      </c>
      <c r="P11" s="50"/>
      <c r="Q11" s="50">
        <v>1</v>
      </c>
      <c r="R11" s="50">
        <v>1</v>
      </c>
      <c r="S11" s="50">
        <v>1</v>
      </c>
      <c r="T11" s="50">
        <v>1</v>
      </c>
      <c r="U11" s="50">
        <v>1</v>
      </c>
      <c r="V11" s="50">
        <v>1</v>
      </c>
      <c r="W11" s="50">
        <v>1</v>
      </c>
      <c r="X11" s="50"/>
      <c r="Y11" s="50">
        <v>1</v>
      </c>
      <c r="Z11" s="50">
        <v>1</v>
      </c>
      <c r="AA11" s="50">
        <v>1</v>
      </c>
      <c r="AB11" s="50">
        <v>1</v>
      </c>
      <c r="AC11" s="50">
        <v>1</v>
      </c>
      <c r="AD11" s="50">
        <v>1</v>
      </c>
      <c r="AE11" s="50">
        <v>1</v>
      </c>
      <c r="AF11" s="50"/>
      <c r="AG11" s="50">
        <v>1</v>
      </c>
      <c r="AH11" s="50">
        <v>1</v>
      </c>
      <c r="AI11" s="50">
        <v>1</v>
      </c>
      <c r="AJ11" s="50">
        <v>1</v>
      </c>
      <c r="AK11" s="50">
        <v>1</v>
      </c>
      <c r="AL11" s="50">
        <v>1</v>
      </c>
      <c r="AM11" s="50">
        <v>1</v>
      </c>
      <c r="AN11" s="50"/>
      <c r="AO11" s="140">
        <f>SUM(B11:AN11)</f>
        <v>33</v>
      </c>
      <c r="AP11" s="2"/>
    </row>
    <row r="12" spans="1:42" ht="12.6" customHeight="1" x14ac:dyDescent="0.3">
      <c r="A12" s="51" t="s">
        <v>255</v>
      </c>
      <c r="B12" s="52"/>
      <c r="C12" s="52">
        <f>+C10*C11</f>
        <v>1300</v>
      </c>
      <c r="D12" s="52">
        <f t="shared" ref="D12:I12" si="10">+D10*D11</f>
        <v>1300</v>
      </c>
      <c r="E12" s="52">
        <f t="shared" si="10"/>
        <v>1300</v>
      </c>
      <c r="F12" s="52">
        <f t="shared" si="10"/>
        <v>1300</v>
      </c>
      <c r="G12" s="52">
        <f t="shared" si="10"/>
        <v>1300</v>
      </c>
      <c r="H12" s="52"/>
      <c r="I12" s="52">
        <f t="shared" si="10"/>
        <v>1300</v>
      </c>
      <c r="J12" s="52">
        <f t="shared" ref="J12:O12" si="11">+J10*J11</f>
        <v>2500</v>
      </c>
      <c r="K12" s="52">
        <f t="shared" si="11"/>
        <v>2500</v>
      </c>
      <c r="L12" s="52">
        <f t="shared" si="11"/>
        <v>2500</v>
      </c>
      <c r="M12" s="52">
        <f t="shared" si="11"/>
        <v>1800</v>
      </c>
      <c r="N12" s="52">
        <f t="shared" si="11"/>
        <v>1300</v>
      </c>
      <c r="O12" s="52">
        <f t="shared" si="11"/>
        <v>1300</v>
      </c>
      <c r="P12" s="52"/>
      <c r="Q12" s="52">
        <f t="shared" ref="Q12:W12" si="12">+Q10*Q11</f>
        <v>1300</v>
      </c>
      <c r="R12" s="52">
        <f t="shared" si="12"/>
        <v>2600</v>
      </c>
      <c r="S12" s="52">
        <f t="shared" si="12"/>
        <v>2600</v>
      </c>
      <c r="T12" s="52">
        <f t="shared" si="12"/>
        <v>2500</v>
      </c>
      <c r="U12" s="52">
        <f t="shared" si="12"/>
        <v>1800</v>
      </c>
      <c r="V12" s="52">
        <f t="shared" si="12"/>
        <v>1800</v>
      </c>
      <c r="W12" s="52">
        <f t="shared" si="12"/>
        <v>1300</v>
      </c>
      <c r="X12" s="52"/>
      <c r="Y12" s="52">
        <f t="shared" ref="Y12:AE12" si="13">+Y10*Y11</f>
        <v>1300</v>
      </c>
      <c r="Z12" s="52">
        <f t="shared" si="13"/>
        <v>2500</v>
      </c>
      <c r="AA12" s="52">
        <f t="shared" si="13"/>
        <v>2500</v>
      </c>
      <c r="AB12" s="52">
        <f t="shared" si="13"/>
        <v>2500</v>
      </c>
      <c r="AC12" s="52">
        <f t="shared" si="13"/>
        <v>2500</v>
      </c>
      <c r="AD12" s="52">
        <f t="shared" si="13"/>
        <v>1800</v>
      </c>
      <c r="AE12" s="52">
        <f t="shared" si="13"/>
        <v>1300</v>
      </c>
      <c r="AF12" s="52"/>
      <c r="AG12" s="52">
        <f t="shared" ref="AG12:AM12" si="14">+AG10*AG11</f>
        <v>1300</v>
      </c>
      <c r="AH12" s="52">
        <f t="shared" si="14"/>
        <v>1800</v>
      </c>
      <c r="AI12" s="52">
        <f t="shared" si="14"/>
        <v>1300</v>
      </c>
      <c r="AJ12" s="52">
        <f t="shared" si="14"/>
        <v>1300</v>
      </c>
      <c r="AK12" s="52">
        <f t="shared" si="14"/>
        <v>1300</v>
      </c>
      <c r="AL12" s="52">
        <f t="shared" si="14"/>
        <v>1300</v>
      </c>
      <c r="AM12" s="52">
        <f t="shared" si="14"/>
        <v>1300</v>
      </c>
      <c r="AN12" s="52"/>
      <c r="AO12" s="54"/>
      <c r="AP12" s="2"/>
    </row>
    <row r="13" spans="1:42" ht="12.6" customHeight="1" x14ac:dyDescent="0.3">
      <c r="A13" s="51" t="s">
        <v>256</v>
      </c>
      <c r="B13" s="13"/>
      <c r="C13" s="13">
        <f>C9/C12</f>
        <v>0.54146153846153844</v>
      </c>
      <c r="D13" s="13">
        <f t="shared" ref="D13:I13" si="15">D9/D12</f>
        <v>0.82800000000000007</v>
      </c>
      <c r="E13" s="13">
        <f t="shared" si="15"/>
        <v>0.64746153846153853</v>
      </c>
      <c r="F13" s="13">
        <f t="shared" si="15"/>
        <v>0.67976923076923079</v>
      </c>
      <c r="G13" s="13">
        <f t="shared" si="15"/>
        <v>0.48438461538461541</v>
      </c>
      <c r="H13" s="13"/>
      <c r="I13" s="13">
        <f t="shared" si="15"/>
        <v>0.40092307692307694</v>
      </c>
      <c r="J13" s="13">
        <f t="shared" ref="J13:O13" si="16">J9/J12</f>
        <v>0.76383999999999996</v>
      </c>
      <c r="K13" s="13">
        <f t="shared" si="16"/>
        <v>0.89744000000000002</v>
      </c>
      <c r="L13" s="13">
        <f t="shared" si="16"/>
        <v>0.73040000000000005</v>
      </c>
      <c r="M13" s="13">
        <f t="shared" si="16"/>
        <v>0.93672222222222212</v>
      </c>
      <c r="N13" s="13">
        <f t="shared" si="16"/>
        <v>0.99107692307692319</v>
      </c>
      <c r="O13" s="13">
        <f t="shared" si="16"/>
        <v>0.35015384615384615</v>
      </c>
      <c r="P13" s="13"/>
      <c r="Q13" s="13">
        <f t="shared" ref="Q13:W13" si="17">Q9/Q12</f>
        <v>0.8113076923076924</v>
      </c>
      <c r="R13" s="13">
        <f t="shared" si="17"/>
        <v>0.96461538461538465</v>
      </c>
      <c r="S13" s="13">
        <f t="shared" si="17"/>
        <v>0.98873076923076919</v>
      </c>
      <c r="T13" s="13">
        <f t="shared" si="17"/>
        <v>0.94112000000000007</v>
      </c>
      <c r="U13" s="13">
        <f t="shared" si="17"/>
        <v>0.96888888888888891</v>
      </c>
      <c r="V13" s="13">
        <f t="shared" si="17"/>
        <v>0.78066666666666673</v>
      </c>
      <c r="W13" s="13">
        <f t="shared" si="17"/>
        <v>0.66761538461538461</v>
      </c>
      <c r="X13" s="13"/>
      <c r="Y13" s="13">
        <f t="shared" ref="Y13:AE13" si="18">Y9/Y12</f>
        <v>0.7836153846153846</v>
      </c>
      <c r="Z13" s="13">
        <f t="shared" si="18"/>
        <v>0.77491999999999994</v>
      </c>
      <c r="AA13" s="13">
        <f t="shared" si="18"/>
        <v>0.84743999999999997</v>
      </c>
      <c r="AB13" s="13">
        <f t="shared" si="18"/>
        <v>0.87327999999999995</v>
      </c>
      <c r="AC13" s="13">
        <f t="shared" si="18"/>
        <v>0.71867999999999999</v>
      </c>
      <c r="AD13" s="13">
        <f t="shared" si="18"/>
        <v>0.84399999999999997</v>
      </c>
      <c r="AE13" s="13">
        <f t="shared" si="18"/>
        <v>0.71461538461538465</v>
      </c>
      <c r="AF13" s="13"/>
      <c r="AG13" s="13">
        <f t="shared" ref="AG13:AM13" si="19">AG9/AG12</f>
        <v>0.58930769230769231</v>
      </c>
      <c r="AH13" s="13">
        <f t="shared" si="19"/>
        <v>0.77116666666666667</v>
      </c>
      <c r="AI13" s="13">
        <f t="shared" si="19"/>
        <v>0.95407692307692304</v>
      </c>
      <c r="AJ13" s="13">
        <f t="shared" si="19"/>
        <v>0.95015384615384624</v>
      </c>
      <c r="AK13" s="13">
        <f t="shared" si="19"/>
        <v>0.73515384615384616</v>
      </c>
      <c r="AL13" s="13">
        <f t="shared" si="19"/>
        <v>0.66846153846153844</v>
      </c>
      <c r="AM13" s="13">
        <f t="shared" si="19"/>
        <v>0.35561538461538461</v>
      </c>
      <c r="AN13" s="13"/>
      <c r="AO13" s="54"/>
      <c r="AP13" s="2"/>
    </row>
    <row r="14" spans="1:42" ht="12.6" customHeight="1" x14ac:dyDescent="0.3">
      <c r="A14" s="51" t="s">
        <v>257</v>
      </c>
      <c r="B14" s="5"/>
      <c r="C14" s="5" t="str">
        <f>IF(C13&lt;1,"OK","ＮＧ")</f>
        <v>OK</v>
      </c>
      <c r="D14" s="5" t="str">
        <f t="shared" ref="D14:I14" si="20">IF(D13&lt;1,"OK","ＮＧ")</f>
        <v>OK</v>
      </c>
      <c r="E14" s="5" t="str">
        <f t="shared" si="20"/>
        <v>OK</v>
      </c>
      <c r="F14" s="5" t="str">
        <f t="shared" si="20"/>
        <v>OK</v>
      </c>
      <c r="G14" s="5" t="str">
        <f t="shared" si="20"/>
        <v>OK</v>
      </c>
      <c r="H14" s="5"/>
      <c r="I14" s="5" t="str">
        <f t="shared" si="20"/>
        <v>OK</v>
      </c>
      <c r="J14" s="5" t="str">
        <f t="shared" ref="J14:O14" si="21">IF(J13&lt;1,"OK","ＮＧ")</f>
        <v>OK</v>
      </c>
      <c r="K14" s="5" t="str">
        <f t="shared" si="21"/>
        <v>OK</v>
      </c>
      <c r="L14" s="5" t="str">
        <f t="shared" si="21"/>
        <v>OK</v>
      </c>
      <c r="M14" s="5" t="str">
        <f t="shared" si="21"/>
        <v>OK</v>
      </c>
      <c r="N14" s="5" t="str">
        <f t="shared" si="21"/>
        <v>OK</v>
      </c>
      <c r="O14" s="5" t="str">
        <f t="shared" si="21"/>
        <v>OK</v>
      </c>
      <c r="P14" s="5"/>
      <c r="Q14" s="5" t="str">
        <f t="shared" ref="Q14:W14" si="22">IF(Q13&lt;1,"OK","ＮＧ")</f>
        <v>OK</v>
      </c>
      <c r="R14" s="5" t="str">
        <f t="shared" si="22"/>
        <v>OK</v>
      </c>
      <c r="S14" s="5" t="str">
        <f t="shared" si="22"/>
        <v>OK</v>
      </c>
      <c r="T14" s="5" t="str">
        <f t="shared" si="22"/>
        <v>OK</v>
      </c>
      <c r="U14" s="5" t="str">
        <f t="shared" si="22"/>
        <v>OK</v>
      </c>
      <c r="V14" s="5" t="str">
        <f t="shared" si="22"/>
        <v>OK</v>
      </c>
      <c r="W14" s="5" t="str">
        <f t="shared" si="22"/>
        <v>OK</v>
      </c>
      <c r="X14" s="5"/>
      <c r="Y14" s="5" t="str">
        <f t="shared" ref="Y14:AE14" si="23">IF(Y13&lt;1,"OK","ＮＧ")</f>
        <v>OK</v>
      </c>
      <c r="Z14" s="5" t="str">
        <f t="shared" si="23"/>
        <v>OK</v>
      </c>
      <c r="AA14" s="5" t="str">
        <f t="shared" si="23"/>
        <v>OK</v>
      </c>
      <c r="AB14" s="5" t="str">
        <f t="shared" si="23"/>
        <v>OK</v>
      </c>
      <c r="AC14" s="5" t="str">
        <f t="shared" si="23"/>
        <v>OK</v>
      </c>
      <c r="AD14" s="5" t="str">
        <f t="shared" si="23"/>
        <v>OK</v>
      </c>
      <c r="AE14" s="5" t="str">
        <f t="shared" si="23"/>
        <v>OK</v>
      </c>
      <c r="AF14" s="5"/>
      <c r="AG14" s="5" t="str">
        <f t="shared" ref="AG14:AM14" si="24">IF(AG13&lt;1,"OK","ＮＧ")</f>
        <v>OK</v>
      </c>
      <c r="AH14" s="5" t="str">
        <f t="shared" si="24"/>
        <v>OK</v>
      </c>
      <c r="AI14" s="5" t="str">
        <f t="shared" si="24"/>
        <v>OK</v>
      </c>
      <c r="AJ14" s="5" t="str">
        <f t="shared" si="24"/>
        <v>OK</v>
      </c>
      <c r="AK14" s="5" t="str">
        <f t="shared" si="24"/>
        <v>OK</v>
      </c>
      <c r="AL14" s="5" t="str">
        <f t="shared" si="24"/>
        <v>OK</v>
      </c>
      <c r="AM14" s="5" t="str">
        <f t="shared" si="24"/>
        <v>OK</v>
      </c>
      <c r="AN14" s="5"/>
      <c r="AO14" s="54"/>
      <c r="AP14" s="2"/>
    </row>
    <row r="15" spans="1:42" ht="12.6" customHeight="1" x14ac:dyDescent="0.3">
      <c r="A15" s="55" t="s">
        <v>258</v>
      </c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41"/>
      <c r="AP15" s="2"/>
    </row>
    <row r="16" spans="1:42" ht="12.6" customHeight="1" x14ac:dyDescent="0.3">
      <c r="A16" s="2" t="s">
        <v>259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O16" s="57"/>
      <c r="AP16" s="2"/>
    </row>
    <row r="17" spans="1:42" ht="12.6" customHeight="1" x14ac:dyDescent="0.3">
      <c r="A17" s="58"/>
      <c r="B17" s="39"/>
      <c r="C17" s="40" t="str">
        <f t="shared" ref="C17:G18" si="25">+C4</f>
        <v>A-2</v>
      </c>
      <c r="D17" s="40" t="str">
        <f t="shared" si="25"/>
        <v>A-3</v>
      </c>
      <c r="E17" s="40" t="str">
        <f t="shared" si="25"/>
        <v>A-4</v>
      </c>
      <c r="F17" s="40" t="str">
        <f t="shared" si="25"/>
        <v>A-5</v>
      </c>
      <c r="G17" s="40" t="str">
        <f t="shared" si="25"/>
        <v>A-6</v>
      </c>
      <c r="H17" s="40"/>
      <c r="I17" s="40" t="str">
        <f t="shared" ref="I17:O17" si="26">+I4</f>
        <v>B-1</v>
      </c>
      <c r="J17" s="40" t="str">
        <f t="shared" si="26"/>
        <v>B-2</v>
      </c>
      <c r="K17" s="40" t="str">
        <f t="shared" si="26"/>
        <v>B-3</v>
      </c>
      <c r="L17" s="40" t="str">
        <f t="shared" si="26"/>
        <v>B-4</v>
      </c>
      <c r="M17" s="40" t="str">
        <f t="shared" si="26"/>
        <v>B-5</v>
      </c>
      <c r="N17" s="40" t="str">
        <f t="shared" si="26"/>
        <v>B-6</v>
      </c>
      <c r="O17" s="40" t="str">
        <f t="shared" si="26"/>
        <v>B-7</v>
      </c>
      <c r="P17" s="40"/>
      <c r="Q17" s="40" t="str">
        <f>+Q4</f>
        <v>C-1</v>
      </c>
      <c r="R17" s="40" t="str">
        <f t="shared" ref="R17:W17" si="27">+R4</f>
        <v>C-2</v>
      </c>
      <c r="S17" s="40" t="str">
        <f t="shared" si="27"/>
        <v>C-3</v>
      </c>
      <c r="T17" s="40" t="str">
        <f t="shared" si="27"/>
        <v>C-4</v>
      </c>
      <c r="U17" s="40" t="str">
        <f t="shared" si="27"/>
        <v>C-5</v>
      </c>
      <c r="V17" s="40" t="str">
        <f t="shared" si="27"/>
        <v>C-6</v>
      </c>
      <c r="W17" s="40" t="str">
        <f t="shared" si="27"/>
        <v>C-7</v>
      </c>
      <c r="X17" s="40"/>
      <c r="Y17" s="40" t="str">
        <f>+Y4</f>
        <v>D-1</v>
      </c>
      <c r="Z17" s="40" t="str">
        <f t="shared" ref="Z17:AE17" si="28">+Z4</f>
        <v>D-2</v>
      </c>
      <c r="AA17" s="40" t="str">
        <f t="shared" si="28"/>
        <v>D-3</v>
      </c>
      <c r="AB17" s="40" t="str">
        <f t="shared" si="28"/>
        <v>D-4</v>
      </c>
      <c r="AC17" s="40" t="str">
        <f t="shared" si="28"/>
        <v>D-5</v>
      </c>
      <c r="AD17" s="40" t="str">
        <f t="shared" si="28"/>
        <v>D-6</v>
      </c>
      <c r="AE17" s="40" t="str">
        <f t="shared" si="28"/>
        <v>D-7</v>
      </c>
      <c r="AF17" s="40"/>
      <c r="AG17" s="40" t="str">
        <f>+AG4</f>
        <v>E-1</v>
      </c>
      <c r="AH17" s="40" t="str">
        <f t="shared" ref="AH17:AM17" si="29">+AH4</f>
        <v>E-2</v>
      </c>
      <c r="AI17" s="40" t="str">
        <f t="shared" si="29"/>
        <v>E-3</v>
      </c>
      <c r="AJ17" s="40" t="str">
        <f t="shared" si="29"/>
        <v>E-4</v>
      </c>
      <c r="AK17" s="40" t="str">
        <f t="shared" si="29"/>
        <v>E-5</v>
      </c>
      <c r="AL17" s="40" t="str">
        <f t="shared" si="29"/>
        <v>E-6</v>
      </c>
      <c r="AM17" s="40" t="str">
        <f t="shared" si="29"/>
        <v>E-7</v>
      </c>
      <c r="AN17" s="40"/>
      <c r="AO17" s="59" t="s">
        <v>250</v>
      </c>
      <c r="AP17" s="2"/>
    </row>
    <row r="18" spans="1:42" ht="12.6" customHeight="1" x14ac:dyDescent="0.3">
      <c r="A18" s="60" t="s">
        <v>53</v>
      </c>
      <c r="B18" s="61"/>
      <c r="C18" s="62">
        <f t="shared" si="25"/>
        <v>640.9</v>
      </c>
      <c r="D18" s="62">
        <f t="shared" si="25"/>
        <v>1013.4</v>
      </c>
      <c r="E18" s="62">
        <f t="shared" si="25"/>
        <v>778.7</v>
      </c>
      <c r="F18" s="62">
        <f t="shared" si="25"/>
        <v>820.7</v>
      </c>
      <c r="G18" s="62">
        <f t="shared" si="25"/>
        <v>566.70000000000005</v>
      </c>
      <c r="H18" s="62"/>
      <c r="I18" s="62">
        <f t="shared" ref="I18:O18" si="30">+I5</f>
        <v>458.2</v>
      </c>
      <c r="J18" s="62">
        <f t="shared" si="30"/>
        <v>1846.6</v>
      </c>
      <c r="K18" s="62">
        <f t="shared" si="30"/>
        <v>2180.6</v>
      </c>
      <c r="L18" s="62">
        <f t="shared" si="30"/>
        <v>1763</v>
      </c>
      <c r="M18" s="62">
        <f t="shared" si="30"/>
        <v>1623.1</v>
      </c>
      <c r="N18" s="62">
        <f t="shared" si="30"/>
        <v>1225.4000000000001</v>
      </c>
      <c r="O18" s="62">
        <f t="shared" si="30"/>
        <v>392.2</v>
      </c>
      <c r="P18" s="62"/>
      <c r="Q18" s="62">
        <f>+Q5</f>
        <v>991.7</v>
      </c>
      <c r="R18" s="62">
        <f t="shared" ref="R18:W18" si="31">+R5</f>
        <v>2445</v>
      </c>
      <c r="S18" s="62">
        <f t="shared" si="31"/>
        <v>2507.6999999999998</v>
      </c>
      <c r="T18" s="62">
        <f t="shared" si="31"/>
        <v>2289.8000000000002</v>
      </c>
      <c r="U18" s="62">
        <f t="shared" si="31"/>
        <v>1681</v>
      </c>
      <c r="V18" s="62">
        <f t="shared" si="31"/>
        <v>1342.2</v>
      </c>
      <c r="W18" s="62">
        <f t="shared" si="31"/>
        <v>834.3</v>
      </c>
      <c r="X18" s="62"/>
      <c r="Y18" s="62">
        <f>+Y5</f>
        <v>955.7</v>
      </c>
      <c r="Z18" s="62">
        <f t="shared" ref="Z18:AE18" si="32">+Z5</f>
        <v>1874.3</v>
      </c>
      <c r="AA18" s="62">
        <f t="shared" si="32"/>
        <v>2055.6</v>
      </c>
      <c r="AB18" s="62">
        <f t="shared" si="32"/>
        <v>2120.1999999999998</v>
      </c>
      <c r="AC18" s="62">
        <f t="shared" si="32"/>
        <v>1733.7</v>
      </c>
      <c r="AD18" s="62">
        <f t="shared" si="32"/>
        <v>1456.2</v>
      </c>
      <c r="AE18" s="62">
        <f t="shared" si="32"/>
        <v>866</v>
      </c>
      <c r="AF18" s="62"/>
      <c r="AG18" s="62">
        <f>+AG5</f>
        <v>703.1</v>
      </c>
      <c r="AH18" s="62">
        <f t="shared" ref="AH18:AM18" si="33">+AH5</f>
        <v>1325.1</v>
      </c>
      <c r="AI18" s="62">
        <f t="shared" si="33"/>
        <v>1177.3</v>
      </c>
      <c r="AJ18" s="62">
        <f t="shared" si="33"/>
        <v>1172.2</v>
      </c>
      <c r="AK18" s="62">
        <f t="shared" si="33"/>
        <v>892.7</v>
      </c>
      <c r="AL18" s="62">
        <f t="shared" si="33"/>
        <v>806</v>
      </c>
      <c r="AM18" s="62">
        <f t="shared" si="33"/>
        <v>399.3</v>
      </c>
      <c r="AN18" s="62"/>
      <c r="AO18" s="42"/>
      <c r="AP18" s="2"/>
    </row>
    <row r="19" spans="1:42" ht="12.6" customHeight="1" x14ac:dyDescent="0.3">
      <c r="A19" s="43" t="s">
        <v>340</v>
      </c>
      <c r="B19" s="64"/>
      <c r="C19" s="99">
        <v>135.80000000000001</v>
      </c>
      <c r="D19" s="99">
        <v>17.399999999999999</v>
      </c>
      <c r="E19" s="99">
        <v>0.2</v>
      </c>
      <c r="F19" s="99">
        <v>146</v>
      </c>
      <c r="G19" s="99">
        <v>227.8</v>
      </c>
      <c r="H19" s="99"/>
      <c r="I19" s="99">
        <v>174.5</v>
      </c>
      <c r="J19" s="99">
        <v>107.2</v>
      </c>
      <c r="K19" s="99">
        <v>2.5</v>
      </c>
      <c r="L19" s="99">
        <v>1.9</v>
      </c>
      <c r="M19" s="99">
        <v>4.0999999999999996</v>
      </c>
      <c r="N19" s="99">
        <v>1</v>
      </c>
      <c r="O19" s="99">
        <v>104</v>
      </c>
      <c r="P19" s="99"/>
      <c r="Q19" s="99">
        <v>164.8</v>
      </c>
      <c r="R19" s="99">
        <v>166.4</v>
      </c>
      <c r="S19" s="99">
        <v>8.1999999999999993</v>
      </c>
      <c r="T19" s="99">
        <v>6.5</v>
      </c>
      <c r="U19" s="99">
        <v>44.4</v>
      </c>
      <c r="V19" s="99">
        <v>73.5</v>
      </c>
      <c r="W19" s="99">
        <v>122.1</v>
      </c>
      <c r="X19" s="99"/>
      <c r="Y19" s="99">
        <v>261.2</v>
      </c>
      <c r="Z19" s="99">
        <v>55.5</v>
      </c>
      <c r="AA19" s="99">
        <v>33.1</v>
      </c>
      <c r="AB19" s="99">
        <v>19.3</v>
      </c>
      <c r="AC19" s="99">
        <v>52.6</v>
      </c>
      <c r="AD19" s="99">
        <v>53.2</v>
      </c>
      <c r="AE19" s="99">
        <v>144.30000000000001</v>
      </c>
      <c r="AF19" s="99"/>
      <c r="AG19" s="99">
        <v>190.8</v>
      </c>
      <c r="AH19" s="99">
        <v>96.2</v>
      </c>
      <c r="AI19" s="99">
        <v>11</v>
      </c>
      <c r="AJ19" s="99">
        <v>20.5</v>
      </c>
      <c r="AK19" s="99">
        <v>49.1</v>
      </c>
      <c r="AL19" s="99">
        <v>23.5</v>
      </c>
      <c r="AM19" s="99">
        <v>102.1</v>
      </c>
      <c r="AN19" s="99"/>
      <c r="AO19" s="45"/>
      <c r="AP19" s="2"/>
    </row>
    <row r="20" spans="1:42" ht="12.6" customHeight="1" x14ac:dyDescent="0.3">
      <c r="A20" s="43" t="s">
        <v>339</v>
      </c>
      <c r="B20" s="66"/>
      <c r="C20" s="67">
        <v>701</v>
      </c>
      <c r="D20" s="67">
        <v>529.1</v>
      </c>
      <c r="E20" s="67">
        <v>2.5</v>
      </c>
      <c r="F20" s="67">
        <v>1.5</v>
      </c>
      <c r="G20" s="67">
        <v>0.3</v>
      </c>
      <c r="H20" s="67"/>
      <c r="I20" s="67">
        <v>2</v>
      </c>
      <c r="J20" s="67">
        <v>682.6</v>
      </c>
      <c r="K20" s="67">
        <v>521.9</v>
      </c>
      <c r="L20" s="67">
        <v>1.5</v>
      </c>
      <c r="M20" s="67">
        <v>0.8</v>
      </c>
      <c r="N20" s="67">
        <v>0.9</v>
      </c>
      <c r="O20" s="67">
        <v>1.3</v>
      </c>
      <c r="P20" s="67"/>
      <c r="Q20" s="67">
        <v>278.89999999999998</v>
      </c>
      <c r="R20" s="67">
        <v>283.7</v>
      </c>
      <c r="S20" s="67">
        <v>312.60000000000002</v>
      </c>
      <c r="T20" s="67">
        <v>356.4</v>
      </c>
      <c r="U20" s="67">
        <v>382.9</v>
      </c>
      <c r="V20" s="67">
        <v>345.6</v>
      </c>
      <c r="W20" s="67">
        <v>998.6</v>
      </c>
      <c r="X20" s="67"/>
      <c r="Y20" s="67">
        <v>273.60000000000002</v>
      </c>
      <c r="Z20" s="67">
        <v>298.2</v>
      </c>
      <c r="AA20" s="67">
        <v>326.7</v>
      </c>
      <c r="AB20" s="67">
        <v>363.2</v>
      </c>
      <c r="AC20" s="67">
        <v>380.8</v>
      </c>
      <c r="AD20" s="67">
        <v>344.6</v>
      </c>
      <c r="AE20" s="67">
        <v>998.6</v>
      </c>
      <c r="AF20" s="67"/>
      <c r="AG20" s="67">
        <v>9.3000000000000007</v>
      </c>
      <c r="AH20" s="67">
        <v>5.6</v>
      </c>
      <c r="AI20" s="67">
        <v>4.7</v>
      </c>
      <c r="AJ20" s="67">
        <v>5</v>
      </c>
      <c r="AK20" s="67">
        <v>3.1</v>
      </c>
      <c r="AL20" s="67">
        <v>2.2000000000000002</v>
      </c>
      <c r="AM20" s="67">
        <v>1.3</v>
      </c>
      <c r="AN20" s="67"/>
      <c r="AO20" s="45"/>
      <c r="AP20" s="2"/>
    </row>
    <row r="21" spans="1:42" ht="12.6" customHeight="1" x14ac:dyDescent="0.3">
      <c r="A21" s="51" t="s">
        <v>57</v>
      </c>
      <c r="B21" s="69"/>
      <c r="C21" s="70">
        <f>MAX(C19,C20)</f>
        <v>701</v>
      </c>
      <c r="D21" s="70">
        <f t="shared" ref="D21:I21" si="34">MAX(D19,D20)</f>
        <v>529.1</v>
      </c>
      <c r="E21" s="70">
        <f t="shared" si="34"/>
        <v>2.5</v>
      </c>
      <c r="F21" s="70">
        <f t="shared" si="34"/>
        <v>146</v>
      </c>
      <c r="G21" s="70">
        <f t="shared" si="34"/>
        <v>227.8</v>
      </c>
      <c r="H21" s="70"/>
      <c r="I21" s="70">
        <f t="shared" si="34"/>
        <v>174.5</v>
      </c>
      <c r="J21" s="70">
        <f t="shared" ref="J21:O21" si="35">MAX(J19,J20)</f>
        <v>682.6</v>
      </c>
      <c r="K21" s="70">
        <f t="shared" si="35"/>
        <v>521.9</v>
      </c>
      <c r="L21" s="70">
        <f t="shared" si="35"/>
        <v>1.9</v>
      </c>
      <c r="M21" s="70">
        <f t="shared" si="35"/>
        <v>4.0999999999999996</v>
      </c>
      <c r="N21" s="70">
        <f t="shared" si="35"/>
        <v>1</v>
      </c>
      <c r="O21" s="70">
        <f t="shared" si="35"/>
        <v>104</v>
      </c>
      <c r="P21" s="70"/>
      <c r="Q21" s="70">
        <f t="shared" ref="Q21:W21" si="36">MAX(Q19,Q20)</f>
        <v>278.89999999999998</v>
      </c>
      <c r="R21" s="70">
        <f t="shared" si="36"/>
        <v>283.7</v>
      </c>
      <c r="S21" s="70">
        <f t="shared" si="36"/>
        <v>312.60000000000002</v>
      </c>
      <c r="T21" s="70">
        <f t="shared" si="36"/>
        <v>356.4</v>
      </c>
      <c r="U21" s="70">
        <f t="shared" si="36"/>
        <v>382.9</v>
      </c>
      <c r="V21" s="70">
        <f t="shared" si="36"/>
        <v>345.6</v>
      </c>
      <c r="W21" s="70">
        <f t="shared" si="36"/>
        <v>998.6</v>
      </c>
      <c r="X21" s="70"/>
      <c r="Y21" s="70">
        <f t="shared" ref="Y21:AE21" si="37">MAX(Y19,Y20)</f>
        <v>273.60000000000002</v>
      </c>
      <c r="Z21" s="70">
        <f t="shared" si="37"/>
        <v>298.2</v>
      </c>
      <c r="AA21" s="70">
        <f t="shared" si="37"/>
        <v>326.7</v>
      </c>
      <c r="AB21" s="70">
        <f t="shared" si="37"/>
        <v>363.2</v>
      </c>
      <c r="AC21" s="70">
        <f t="shared" si="37"/>
        <v>380.8</v>
      </c>
      <c r="AD21" s="70">
        <f t="shared" si="37"/>
        <v>344.6</v>
      </c>
      <c r="AE21" s="70">
        <f t="shared" si="37"/>
        <v>998.6</v>
      </c>
      <c r="AF21" s="70"/>
      <c r="AG21" s="70">
        <f t="shared" ref="AG21:AM21" si="38">MAX(AG19,AG20)</f>
        <v>190.8</v>
      </c>
      <c r="AH21" s="70">
        <f t="shared" si="38"/>
        <v>96.2</v>
      </c>
      <c r="AI21" s="70">
        <f t="shared" si="38"/>
        <v>11</v>
      </c>
      <c r="AJ21" s="70">
        <f t="shared" si="38"/>
        <v>20.5</v>
      </c>
      <c r="AK21" s="70">
        <f t="shared" si="38"/>
        <v>49.1</v>
      </c>
      <c r="AL21" s="70">
        <f t="shared" si="38"/>
        <v>23.5</v>
      </c>
      <c r="AM21" s="70">
        <f t="shared" si="38"/>
        <v>102.1</v>
      </c>
      <c r="AN21" s="70"/>
      <c r="AO21" s="45"/>
      <c r="AP21" s="2"/>
    </row>
    <row r="22" spans="1:42" ht="12.6" customHeight="1" x14ac:dyDescent="0.3">
      <c r="A22" s="51" t="s">
        <v>272</v>
      </c>
      <c r="B22" s="72"/>
      <c r="C22" s="52">
        <f>+C21+C18</f>
        <v>1341.9</v>
      </c>
      <c r="D22" s="52">
        <f t="shared" ref="D22:I22" si="39">+D21+D18</f>
        <v>1542.5</v>
      </c>
      <c r="E22" s="52">
        <f t="shared" si="39"/>
        <v>781.2</v>
      </c>
      <c r="F22" s="52">
        <f t="shared" si="39"/>
        <v>966.7</v>
      </c>
      <c r="G22" s="52">
        <f t="shared" si="39"/>
        <v>794.5</v>
      </c>
      <c r="H22" s="52"/>
      <c r="I22" s="52">
        <f t="shared" si="39"/>
        <v>632.70000000000005</v>
      </c>
      <c r="J22" s="52">
        <f t="shared" ref="J22:O22" si="40">+J21+J18</f>
        <v>2529.1999999999998</v>
      </c>
      <c r="K22" s="52">
        <f t="shared" si="40"/>
        <v>2702.5</v>
      </c>
      <c r="L22" s="52">
        <f t="shared" si="40"/>
        <v>1764.9</v>
      </c>
      <c r="M22" s="52">
        <f t="shared" si="40"/>
        <v>1627.1999999999998</v>
      </c>
      <c r="N22" s="52">
        <f t="shared" si="40"/>
        <v>1226.4000000000001</v>
      </c>
      <c r="O22" s="52">
        <f t="shared" si="40"/>
        <v>496.2</v>
      </c>
      <c r="P22" s="52"/>
      <c r="Q22" s="52">
        <f t="shared" ref="Q22:W22" si="41">+Q21+Q18</f>
        <v>1270.5999999999999</v>
      </c>
      <c r="R22" s="52">
        <f t="shared" si="41"/>
        <v>2728.7</v>
      </c>
      <c r="S22" s="52">
        <f t="shared" si="41"/>
        <v>2820.2999999999997</v>
      </c>
      <c r="T22" s="52">
        <f t="shared" si="41"/>
        <v>2646.2000000000003</v>
      </c>
      <c r="U22" s="52">
        <f t="shared" si="41"/>
        <v>2063.9</v>
      </c>
      <c r="V22" s="52">
        <f t="shared" si="41"/>
        <v>1687.8000000000002</v>
      </c>
      <c r="W22" s="52">
        <f t="shared" si="41"/>
        <v>1832.9</v>
      </c>
      <c r="X22" s="52"/>
      <c r="Y22" s="52">
        <f t="shared" ref="Y22:AE22" si="42">+Y21+Y18</f>
        <v>1229.3000000000002</v>
      </c>
      <c r="Z22" s="52">
        <f t="shared" si="42"/>
        <v>2172.5</v>
      </c>
      <c r="AA22" s="52">
        <f t="shared" si="42"/>
        <v>2382.2999999999997</v>
      </c>
      <c r="AB22" s="52">
        <f t="shared" si="42"/>
        <v>2483.3999999999996</v>
      </c>
      <c r="AC22" s="52">
        <f t="shared" si="42"/>
        <v>2114.5</v>
      </c>
      <c r="AD22" s="52">
        <f t="shared" si="42"/>
        <v>1800.8000000000002</v>
      </c>
      <c r="AE22" s="52">
        <f t="shared" si="42"/>
        <v>1864.6</v>
      </c>
      <c r="AF22" s="52"/>
      <c r="AG22" s="52">
        <f t="shared" ref="AG22:AM22" si="43">+AG21+AG18</f>
        <v>893.90000000000009</v>
      </c>
      <c r="AH22" s="52">
        <f t="shared" si="43"/>
        <v>1421.3</v>
      </c>
      <c r="AI22" s="52">
        <f t="shared" si="43"/>
        <v>1188.3</v>
      </c>
      <c r="AJ22" s="52">
        <f t="shared" si="43"/>
        <v>1192.7</v>
      </c>
      <c r="AK22" s="52">
        <f t="shared" si="43"/>
        <v>941.80000000000007</v>
      </c>
      <c r="AL22" s="52">
        <f t="shared" si="43"/>
        <v>829.5</v>
      </c>
      <c r="AM22" s="52">
        <f t="shared" si="43"/>
        <v>501.4</v>
      </c>
      <c r="AN22" s="52"/>
      <c r="AO22" s="45">
        <f>SUM(B22:AN22)</f>
        <v>52472.600000000013</v>
      </c>
      <c r="AP22" s="2"/>
    </row>
    <row r="23" spans="1:42" ht="12.6" customHeight="1" x14ac:dyDescent="0.3">
      <c r="A23" s="51" t="s">
        <v>273</v>
      </c>
      <c r="B23" s="73"/>
      <c r="C23" s="74">
        <f t="shared" ref="C23:G24" si="44">+C6</f>
        <v>2.25</v>
      </c>
      <c r="D23" s="74">
        <f t="shared" si="44"/>
        <v>2.25</v>
      </c>
      <c r="E23" s="74">
        <f t="shared" si="44"/>
        <v>2.25</v>
      </c>
      <c r="F23" s="74">
        <f t="shared" si="44"/>
        <v>2.25</v>
      </c>
      <c r="G23" s="74">
        <f t="shared" si="44"/>
        <v>2.25</v>
      </c>
      <c r="H23" s="74"/>
      <c r="I23" s="74">
        <f t="shared" ref="I23:O23" si="45">+I6</f>
        <v>2.25</v>
      </c>
      <c r="J23" s="74">
        <f t="shared" si="45"/>
        <v>2.25</v>
      </c>
      <c r="K23" s="74">
        <f t="shared" si="45"/>
        <v>2.25</v>
      </c>
      <c r="L23" s="74">
        <f t="shared" si="45"/>
        <v>2.25</v>
      </c>
      <c r="M23" s="74">
        <f t="shared" si="45"/>
        <v>2.25</v>
      </c>
      <c r="N23" s="74">
        <f t="shared" si="45"/>
        <v>2.25</v>
      </c>
      <c r="O23" s="74">
        <f t="shared" si="45"/>
        <v>2.25</v>
      </c>
      <c r="P23" s="74"/>
      <c r="Q23" s="74">
        <f>+Q6</f>
        <v>2.25</v>
      </c>
      <c r="R23" s="74">
        <f t="shared" ref="R23:W23" si="46">+R6</f>
        <v>2.25</v>
      </c>
      <c r="S23" s="74">
        <f t="shared" si="46"/>
        <v>2.25</v>
      </c>
      <c r="T23" s="74">
        <f t="shared" si="46"/>
        <v>2.25</v>
      </c>
      <c r="U23" s="74">
        <f t="shared" si="46"/>
        <v>2.25</v>
      </c>
      <c r="V23" s="74">
        <f t="shared" si="46"/>
        <v>2.25</v>
      </c>
      <c r="W23" s="74">
        <f t="shared" si="46"/>
        <v>1</v>
      </c>
      <c r="X23" s="74"/>
      <c r="Y23" s="74">
        <f>+Y6</f>
        <v>2.25</v>
      </c>
      <c r="Z23" s="74">
        <f t="shared" ref="Z23:AE23" si="47">+Z6</f>
        <v>2.25</v>
      </c>
      <c r="AA23" s="74">
        <f t="shared" si="47"/>
        <v>2.25</v>
      </c>
      <c r="AB23" s="74">
        <f t="shared" si="47"/>
        <v>2.25</v>
      </c>
      <c r="AC23" s="74">
        <f t="shared" si="47"/>
        <v>2.25</v>
      </c>
      <c r="AD23" s="74">
        <f t="shared" si="47"/>
        <v>2.25</v>
      </c>
      <c r="AE23" s="74">
        <f t="shared" si="47"/>
        <v>2.25</v>
      </c>
      <c r="AF23" s="74"/>
      <c r="AG23" s="74">
        <f>+AG6</f>
        <v>2.25</v>
      </c>
      <c r="AH23" s="74">
        <f t="shared" ref="AH23:AM23" si="48">+AH6</f>
        <v>2.25</v>
      </c>
      <c r="AI23" s="74">
        <f t="shared" si="48"/>
        <v>2.25</v>
      </c>
      <c r="AJ23" s="74">
        <f t="shared" si="48"/>
        <v>2.25</v>
      </c>
      <c r="AK23" s="74">
        <f t="shared" si="48"/>
        <v>2.25</v>
      </c>
      <c r="AL23" s="74">
        <f t="shared" si="48"/>
        <v>2.25</v>
      </c>
      <c r="AM23" s="74">
        <f t="shared" si="48"/>
        <v>2.25</v>
      </c>
      <c r="AN23" s="74"/>
      <c r="AO23" s="45"/>
      <c r="AP23" s="2"/>
    </row>
    <row r="24" spans="1:42" ht="12.6" customHeight="1" x14ac:dyDescent="0.3">
      <c r="A24" s="51" t="s">
        <v>274</v>
      </c>
      <c r="B24" s="75"/>
      <c r="C24" s="53">
        <f t="shared" si="44"/>
        <v>1.4</v>
      </c>
      <c r="D24" s="53">
        <f t="shared" si="44"/>
        <v>1.4</v>
      </c>
      <c r="E24" s="53">
        <f t="shared" si="44"/>
        <v>1.4</v>
      </c>
      <c r="F24" s="53">
        <f t="shared" si="44"/>
        <v>1.4</v>
      </c>
      <c r="G24" s="53">
        <f t="shared" si="44"/>
        <v>1.4</v>
      </c>
      <c r="H24" s="53"/>
      <c r="I24" s="53">
        <f t="shared" ref="I24:O24" si="49">+I7</f>
        <v>1.4</v>
      </c>
      <c r="J24" s="53">
        <f t="shared" si="49"/>
        <v>1.4</v>
      </c>
      <c r="K24" s="53">
        <f t="shared" si="49"/>
        <v>1.4</v>
      </c>
      <c r="L24" s="53">
        <f t="shared" si="49"/>
        <v>1.4</v>
      </c>
      <c r="M24" s="53">
        <f t="shared" si="49"/>
        <v>1.4</v>
      </c>
      <c r="N24" s="53">
        <f t="shared" si="49"/>
        <v>1.4</v>
      </c>
      <c r="O24" s="53">
        <f t="shared" si="49"/>
        <v>1.4</v>
      </c>
      <c r="P24" s="53"/>
      <c r="Q24" s="53">
        <f>+Q7</f>
        <v>1.4</v>
      </c>
      <c r="R24" s="53">
        <f t="shared" ref="R24:W24" si="50">+R7</f>
        <v>1.4</v>
      </c>
      <c r="S24" s="53">
        <f t="shared" si="50"/>
        <v>1.4</v>
      </c>
      <c r="T24" s="53">
        <f t="shared" si="50"/>
        <v>1.4</v>
      </c>
      <c r="U24" s="53">
        <f t="shared" si="50"/>
        <v>1.4</v>
      </c>
      <c r="V24" s="53">
        <f t="shared" si="50"/>
        <v>1.4</v>
      </c>
      <c r="W24" s="53">
        <f t="shared" si="50"/>
        <v>1.4</v>
      </c>
      <c r="X24" s="53"/>
      <c r="Y24" s="53">
        <f>+Y7</f>
        <v>1.4</v>
      </c>
      <c r="Z24" s="53">
        <f t="shared" ref="Z24:AE24" si="51">+Z7</f>
        <v>1.4</v>
      </c>
      <c r="AA24" s="53">
        <f t="shared" si="51"/>
        <v>1.4</v>
      </c>
      <c r="AB24" s="53">
        <f t="shared" si="51"/>
        <v>1.4</v>
      </c>
      <c r="AC24" s="53">
        <f t="shared" si="51"/>
        <v>1.4</v>
      </c>
      <c r="AD24" s="53">
        <f t="shared" si="51"/>
        <v>1.4</v>
      </c>
      <c r="AE24" s="53">
        <f t="shared" si="51"/>
        <v>1.4</v>
      </c>
      <c r="AF24" s="53"/>
      <c r="AG24" s="53">
        <f>+AG7</f>
        <v>1.4</v>
      </c>
      <c r="AH24" s="53">
        <f t="shared" ref="AH24:AM24" si="52">+AH7</f>
        <v>1.4</v>
      </c>
      <c r="AI24" s="53">
        <f t="shared" si="52"/>
        <v>1.4</v>
      </c>
      <c r="AJ24" s="53">
        <f t="shared" si="52"/>
        <v>1.4</v>
      </c>
      <c r="AK24" s="53">
        <f t="shared" si="52"/>
        <v>1.4</v>
      </c>
      <c r="AL24" s="53">
        <f t="shared" si="52"/>
        <v>1.4</v>
      </c>
      <c r="AM24" s="53">
        <f t="shared" si="52"/>
        <v>1.4</v>
      </c>
      <c r="AN24" s="53"/>
      <c r="AO24" s="45"/>
      <c r="AP24" s="2"/>
    </row>
    <row r="25" spans="1:42" ht="12.6" customHeight="1" x14ac:dyDescent="0.3">
      <c r="A25" s="51" t="s">
        <v>275</v>
      </c>
      <c r="B25" s="72"/>
      <c r="C25" s="52">
        <f>C23*C24*2*9.80665</f>
        <v>61.781894999999992</v>
      </c>
      <c r="D25" s="52">
        <f t="shared" ref="D25:I25" si="53">D23*D24*2*9.80665</f>
        <v>61.781894999999992</v>
      </c>
      <c r="E25" s="52">
        <f t="shared" si="53"/>
        <v>61.781894999999992</v>
      </c>
      <c r="F25" s="52">
        <f t="shared" si="53"/>
        <v>61.781894999999992</v>
      </c>
      <c r="G25" s="52">
        <f t="shared" si="53"/>
        <v>61.781894999999992</v>
      </c>
      <c r="H25" s="52"/>
      <c r="I25" s="52">
        <f t="shared" si="53"/>
        <v>61.781894999999992</v>
      </c>
      <c r="J25" s="52">
        <f t="shared" ref="J25:O25" si="54">J23*J24*2*9.80665</f>
        <v>61.781894999999992</v>
      </c>
      <c r="K25" s="52">
        <f t="shared" si="54"/>
        <v>61.781894999999992</v>
      </c>
      <c r="L25" s="52">
        <f t="shared" si="54"/>
        <v>61.781894999999992</v>
      </c>
      <c r="M25" s="52">
        <f t="shared" si="54"/>
        <v>61.781894999999992</v>
      </c>
      <c r="N25" s="52">
        <f t="shared" si="54"/>
        <v>61.781894999999992</v>
      </c>
      <c r="O25" s="52">
        <f t="shared" si="54"/>
        <v>61.781894999999992</v>
      </c>
      <c r="P25" s="52"/>
      <c r="Q25" s="52">
        <f t="shared" ref="Q25:W25" si="55">Q23*Q24*2*9.80665</f>
        <v>61.781894999999992</v>
      </c>
      <c r="R25" s="52">
        <f t="shared" si="55"/>
        <v>61.781894999999992</v>
      </c>
      <c r="S25" s="52">
        <f t="shared" si="55"/>
        <v>61.781894999999992</v>
      </c>
      <c r="T25" s="52">
        <f t="shared" si="55"/>
        <v>61.781894999999992</v>
      </c>
      <c r="U25" s="52">
        <f t="shared" si="55"/>
        <v>61.781894999999992</v>
      </c>
      <c r="V25" s="52">
        <f t="shared" si="55"/>
        <v>61.781894999999992</v>
      </c>
      <c r="W25" s="52">
        <f t="shared" si="55"/>
        <v>27.458619999999996</v>
      </c>
      <c r="X25" s="52"/>
      <c r="Y25" s="52">
        <f t="shared" ref="Y25:AE25" si="56">Y23*Y24*2*9.80665</f>
        <v>61.781894999999992</v>
      </c>
      <c r="Z25" s="52">
        <f t="shared" si="56"/>
        <v>61.781894999999992</v>
      </c>
      <c r="AA25" s="52">
        <f t="shared" si="56"/>
        <v>61.781894999999992</v>
      </c>
      <c r="AB25" s="52">
        <f t="shared" si="56"/>
        <v>61.781894999999992</v>
      </c>
      <c r="AC25" s="52">
        <f t="shared" si="56"/>
        <v>61.781894999999992</v>
      </c>
      <c r="AD25" s="52">
        <f t="shared" si="56"/>
        <v>61.781894999999992</v>
      </c>
      <c r="AE25" s="52">
        <f t="shared" si="56"/>
        <v>61.781894999999992</v>
      </c>
      <c r="AF25" s="52"/>
      <c r="AG25" s="52">
        <f t="shared" ref="AG25:AM25" si="57">AG23*AG24*2*9.80665</f>
        <v>61.781894999999992</v>
      </c>
      <c r="AH25" s="52">
        <f t="shared" si="57"/>
        <v>61.781894999999992</v>
      </c>
      <c r="AI25" s="52">
        <f t="shared" si="57"/>
        <v>61.781894999999992</v>
      </c>
      <c r="AJ25" s="52">
        <f t="shared" si="57"/>
        <v>61.781894999999992</v>
      </c>
      <c r="AK25" s="52">
        <f t="shared" si="57"/>
        <v>61.781894999999992</v>
      </c>
      <c r="AL25" s="52">
        <f t="shared" si="57"/>
        <v>61.781894999999992</v>
      </c>
      <c r="AM25" s="52">
        <f t="shared" si="57"/>
        <v>61.781894999999992</v>
      </c>
      <c r="AN25" s="52"/>
      <c r="AO25" s="45">
        <f>SUM(B25:AN25)</f>
        <v>2004.4792600000005</v>
      </c>
      <c r="AP25" s="2"/>
    </row>
    <row r="26" spans="1:42" ht="12.6" customHeight="1" x14ac:dyDescent="0.3">
      <c r="A26" s="51" t="s">
        <v>276</v>
      </c>
      <c r="B26" s="72"/>
      <c r="C26" s="52">
        <f>C22+C25</f>
        <v>1403.6818950000002</v>
      </c>
      <c r="D26" s="52">
        <f t="shared" ref="D26:I26" si="58">D22+D25</f>
        <v>1604.2818950000001</v>
      </c>
      <c r="E26" s="52">
        <f t="shared" si="58"/>
        <v>842.98189500000001</v>
      </c>
      <c r="F26" s="52">
        <f t="shared" si="58"/>
        <v>1028.4818950000001</v>
      </c>
      <c r="G26" s="52">
        <f t="shared" si="58"/>
        <v>856.28189499999996</v>
      </c>
      <c r="H26" s="52"/>
      <c r="I26" s="52">
        <f t="shared" si="58"/>
        <v>694.48189500000001</v>
      </c>
      <c r="J26" s="52">
        <f t="shared" ref="J26:O26" si="59">J22+J25</f>
        <v>2590.9818949999999</v>
      </c>
      <c r="K26" s="52">
        <f t="shared" si="59"/>
        <v>2764.2818950000001</v>
      </c>
      <c r="L26" s="52">
        <f t="shared" si="59"/>
        <v>1826.6818950000002</v>
      </c>
      <c r="M26" s="52">
        <f t="shared" si="59"/>
        <v>1688.9818949999999</v>
      </c>
      <c r="N26" s="52">
        <f t="shared" si="59"/>
        <v>1288.1818950000002</v>
      </c>
      <c r="O26" s="52">
        <f t="shared" si="59"/>
        <v>557.98189500000001</v>
      </c>
      <c r="P26" s="52"/>
      <c r="Q26" s="52">
        <f t="shared" ref="Q26:W26" si="60">Q22+Q25</f>
        <v>1332.381895</v>
      </c>
      <c r="R26" s="52">
        <f t="shared" si="60"/>
        <v>2790.4818949999999</v>
      </c>
      <c r="S26" s="52">
        <f t="shared" si="60"/>
        <v>2882.0818949999998</v>
      </c>
      <c r="T26" s="52">
        <f t="shared" si="60"/>
        <v>2707.9818950000003</v>
      </c>
      <c r="U26" s="52">
        <f t="shared" si="60"/>
        <v>2125.6818950000002</v>
      </c>
      <c r="V26" s="52">
        <f t="shared" si="60"/>
        <v>1749.5818950000003</v>
      </c>
      <c r="W26" s="52">
        <f t="shared" si="60"/>
        <v>1860.35862</v>
      </c>
      <c r="X26" s="52"/>
      <c r="Y26" s="52">
        <f t="shared" ref="Y26:AE26" si="61">Y22+Y25</f>
        <v>1291.0818950000003</v>
      </c>
      <c r="Z26" s="52">
        <f t="shared" si="61"/>
        <v>2234.2818950000001</v>
      </c>
      <c r="AA26" s="52">
        <f t="shared" si="61"/>
        <v>2444.0818949999998</v>
      </c>
      <c r="AB26" s="52">
        <f t="shared" si="61"/>
        <v>2545.1818949999997</v>
      </c>
      <c r="AC26" s="52">
        <f t="shared" si="61"/>
        <v>2176.2818950000001</v>
      </c>
      <c r="AD26" s="52">
        <f t="shared" si="61"/>
        <v>1862.5818950000003</v>
      </c>
      <c r="AE26" s="52">
        <f t="shared" si="61"/>
        <v>1926.381895</v>
      </c>
      <c r="AF26" s="52"/>
      <c r="AG26" s="52">
        <f t="shared" ref="AG26:AM26" si="62">AG22+AG25</f>
        <v>955.68189500000005</v>
      </c>
      <c r="AH26" s="52">
        <f t="shared" si="62"/>
        <v>1483.081895</v>
      </c>
      <c r="AI26" s="52">
        <f t="shared" si="62"/>
        <v>1250.081895</v>
      </c>
      <c r="AJ26" s="52">
        <f t="shared" si="62"/>
        <v>1254.4818950000001</v>
      </c>
      <c r="AK26" s="52">
        <f t="shared" si="62"/>
        <v>1003.581895</v>
      </c>
      <c r="AL26" s="52">
        <f t="shared" si="62"/>
        <v>891.28189499999996</v>
      </c>
      <c r="AM26" s="52">
        <f t="shared" si="62"/>
        <v>563.18189499999994</v>
      </c>
      <c r="AN26" s="52"/>
      <c r="AO26" s="45">
        <f>SUM(B26:AN26)</f>
        <v>54477.07926000002</v>
      </c>
      <c r="AP26" s="2"/>
    </row>
    <row r="27" spans="1:42" ht="12.6" customHeight="1" x14ac:dyDescent="0.3">
      <c r="A27" s="51" t="s">
        <v>277</v>
      </c>
      <c r="B27" s="72"/>
      <c r="C27" s="52">
        <f>+C10*2</f>
        <v>2600</v>
      </c>
      <c r="D27" s="52">
        <f>+D10*2</f>
        <v>2600</v>
      </c>
      <c r="E27" s="52">
        <f>+E10*2</f>
        <v>2600</v>
      </c>
      <c r="F27" s="52">
        <f>+F10*2</f>
        <v>2600</v>
      </c>
      <c r="G27" s="52">
        <f>+G10*2</f>
        <v>2600</v>
      </c>
      <c r="H27" s="52"/>
      <c r="I27" s="52">
        <f t="shared" ref="I27:O27" si="63">+I10*2</f>
        <v>2600</v>
      </c>
      <c r="J27" s="52">
        <f t="shared" si="63"/>
        <v>5000</v>
      </c>
      <c r="K27" s="52">
        <f t="shared" si="63"/>
        <v>5000</v>
      </c>
      <c r="L27" s="52">
        <f t="shared" si="63"/>
        <v>5000</v>
      </c>
      <c r="M27" s="52">
        <f t="shared" si="63"/>
        <v>3600</v>
      </c>
      <c r="N27" s="52">
        <f t="shared" si="63"/>
        <v>2600</v>
      </c>
      <c r="O27" s="52">
        <f t="shared" si="63"/>
        <v>2600</v>
      </c>
      <c r="P27" s="52"/>
      <c r="Q27" s="52">
        <f>+Q10*2</f>
        <v>2600</v>
      </c>
      <c r="R27" s="52">
        <f t="shared" ref="R27:W27" si="64">+R10*2</f>
        <v>5200</v>
      </c>
      <c r="S27" s="52">
        <f t="shared" si="64"/>
        <v>5200</v>
      </c>
      <c r="T27" s="52">
        <f t="shared" si="64"/>
        <v>5000</v>
      </c>
      <c r="U27" s="52">
        <f t="shared" si="64"/>
        <v>3600</v>
      </c>
      <c r="V27" s="52">
        <f t="shared" si="64"/>
        <v>3600</v>
      </c>
      <c r="W27" s="52">
        <f t="shared" si="64"/>
        <v>2600</v>
      </c>
      <c r="X27" s="52"/>
      <c r="Y27" s="52">
        <f>+Y10*2</f>
        <v>2600</v>
      </c>
      <c r="Z27" s="52">
        <f t="shared" ref="Z27:AE27" si="65">+Z10*2</f>
        <v>5000</v>
      </c>
      <c r="AA27" s="52">
        <f t="shared" si="65"/>
        <v>5000</v>
      </c>
      <c r="AB27" s="52">
        <f t="shared" si="65"/>
        <v>5000</v>
      </c>
      <c r="AC27" s="52">
        <f t="shared" si="65"/>
        <v>5000</v>
      </c>
      <c r="AD27" s="52">
        <f t="shared" si="65"/>
        <v>3600</v>
      </c>
      <c r="AE27" s="52">
        <f t="shared" si="65"/>
        <v>2600</v>
      </c>
      <c r="AF27" s="52"/>
      <c r="AG27" s="52">
        <f>+AG10*2</f>
        <v>2600</v>
      </c>
      <c r="AH27" s="52">
        <f t="shared" ref="AH27:AM27" si="66">+AH10*2</f>
        <v>3600</v>
      </c>
      <c r="AI27" s="52">
        <f t="shared" si="66"/>
        <v>2600</v>
      </c>
      <c r="AJ27" s="52">
        <f t="shared" si="66"/>
        <v>2600</v>
      </c>
      <c r="AK27" s="52">
        <f t="shared" si="66"/>
        <v>2600</v>
      </c>
      <c r="AL27" s="52">
        <f t="shared" si="66"/>
        <v>2600</v>
      </c>
      <c r="AM27" s="52">
        <f t="shared" si="66"/>
        <v>2600</v>
      </c>
      <c r="AN27" s="52"/>
      <c r="AO27" s="45"/>
      <c r="AP27" s="2"/>
    </row>
    <row r="28" spans="1:42" ht="12.6" customHeight="1" x14ac:dyDescent="0.3">
      <c r="A28" s="76" t="s">
        <v>278</v>
      </c>
      <c r="B28" s="77"/>
      <c r="C28" s="78">
        <f>+C11</f>
        <v>1</v>
      </c>
      <c r="D28" s="78">
        <f>+D11</f>
        <v>1</v>
      </c>
      <c r="E28" s="78">
        <f>+E11</f>
        <v>1</v>
      </c>
      <c r="F28" s="78">
        <f>+F11</f>
        <v>1</v>
      </c>
      <c r="G28" s="78">
        <f>+G11</f>
        <v>1</v>
      </c>
      <c r="H28" s="78"/>
      <c r="I28" s="78">
        <f t="shared" ref="I28:O28" si="67">+I11</f>
        <v>1</v>
      </c>
      <c r="J28" s="78">
        <f t="shared" si="67"/>
        <v>1</v>
      </c>
      <c r="K28" s="78">
        <f t="shared" si="67"/>
        <v>1</v>
      </c>
      <c r="L28" s="78">
        <f t="shared" si="67"/>
        <v>1</v>
      </c>
      <c r="M28" s="78">
        <f t="shared" si="67"/>
        <v>1</v>
      </c>
      <c r="N28" s="78">
        <f t="shared" si="67"/>
        <v>1</v>
      </c>
      <c r="O28" s="78">
        <f t="shared" si="67"/>
        <v>1</v>
      </c>
      <c r="P28" s="78"/>
      <c r="Q28" s="78">
        <f>+Q11</f>
        <v>1</v>
      </c>
      <c r="R28" s="78">
        <f t="shared" ref="R28:W28" si="68">+R11</f>
        <v>1</v>
      </c>
      <c r="S28" s="78">
        <f t="shared" si="68"/>
        <v>1</v>
      </c>
      <c r="T28" s="78">
        <f t="shared" si="68"/>
        <v>1</v>
      </c>
      <c r="U28" s="78">
        <f t="shared" si="68"/>
        <v>1</v>
      </c>
      <c r="V28" s="78">
        <f t="shared" si="68"/>
        <v>1</v>
      </c>
      <c r="W28" s="78">
        <f t="shared" si="68"/>
        <v>1</v>
      </c>
      <c r="X28" s="78"/>
      <c r="Y28" s="78">
        <f>+Y11</f>
        <v>1</v>
      </c>
      <c r="Z28" s="78">
        <f t="shared" ref="Z28:AE28" si="69">+Z11</f>
        <v>1</v>
      </c>
      <c r="AA28" s="78">
        <f t="shared" si="69"/>
        <v>1</v>
      </c>
      <c r="AB28" s="78">
        <f t="shared" si="69"/>
        <v>1</v>
      </c>
      <c r="AC28" s="78">
        <f t="shared" si="69"/>
        <v>1</v>
      </c>
      <c r="AD28" s="78">
        <f t="shared" si="69"/>
        <v>1</v>
      </c>
      <c r="AE28" s="78">
        <f t="shared" si="69"/>
        <v>1</v>
      </c>
      <c r="AF28" s="78"/>
      <c r="AG28" s="78">
        <f>+AG11</f>
        <v>1</v>
      </c>
      <c r="AH28" s="78">
        <f t="shared" ref="AH28:AM28" si="70">+AH11</f>
        <v>1</v>
      </c>
      <c r="AI28" s="78">
        <f t="shared" si="70"/>
        <v>1</v>
      </c>
      <c r="AJ28" s="78">
        <f t="shared" si="70"/>
        <v>1</v>
      </c>
      <c r="AK28" s="78">
        <f t="shared" si="70"/>
        <v>1</v>
      </c>
      <c r="AL28" s="78">
        <f t="shared" si="70"/>
        <v>1</v>
      </c>
      <c r="AM28" s="78">
        <f t="shared" si="70"/>
        <v>1</v>
      </c>
      <c r="AN28" s="78"/>
      <c r="AO28" s="45">
        <f>SUM(B28:AN28)</f>
        <v>33</v>
      </c>
      <c r="AP28" s="2"/>
    </row>
    <row r="29" spans="1:42" ht="12.6" customHeight="1" x14ac:dyDescent="0.3">
      <c r="A29" s="51" t="s">
        <v>279</v>
      </c>
      <c r="B29" s="72"/>
      <c r="C29" s="52">
        <f>+C27*C28</f>
        <v>2600</v>
      </c>
      <c r="D29" s="52">
        <f t="shared" ref="D29:I29" si="71">+D27*D28</f>
        <v>2600</v>
      </c>
      <c r="E29" s="52">
        <f t="shared" si="71"/>
        <v>2600</v>
      </c>
      <c r="F29" s="52">
        <f t="shared" si="71"/>
        <v>2600</v>
      </c>
      <c r="G29" s="52">
        <f t="shared" si="71"/>
        <v>2600</v>
      </c>
      <c r="H29" s="52"/>
      <c r="I29" s="52">
        <f t="shared" si="71"/>
        <v>2600</v>
      </c>
      <c r="J29" s="52">
        <f t="shared" ref="J29:O29" si="72">+J27*J28</f>
        <v>5000</v>
      </c>
      <c r="K29" s="52">
        <f t="shared" si="72"/>
        <v>5000</v>
      </c>
      <c r="L29" s="52">
        <f t="shared" si="72"/>
        <v>5000</v>
      </c>
      <c r="M29" s="52">
        <f t="shared" si="72"/>
        <v>3600</v>
      </c>
      <c r="N29" s="52">
        <f t="shared" si="72"/>
        <v>2600</v>
      </c>
      <c r="O29" s="52">
        <f t="shared" si="72"/>
        <v>2600</v>
      </c>
      <c r="P29" s="52"/>
      <c r="Q29" s="52">
        <f t="shared" ref="Q29:W29" si="73">+Q27*Q28</f>
        <v>2600</v>
      </c>
      <c r="R29" s="52">
        <f t="shared" si="73"/>
        <v>5200</v>
      </c>
      <c r="S29" s="52">
        <f t="shared" si="73"/>
        <v>5200</v>
      </c>
      <c r="T29" s="52">
        <f t="shared" si="73"/>
        <v>5000</v>
      </c>
      <c r="U29" s="52">
        <f t="shared" si="73"/>
        <v>3600</v>
      </c>
      <c r="V29" s="52">
        <f t="shared" si="73"/>
        <v>3600</v>
      </c>
      <c r="W29" s="52">
        <f t="shared" si="73"/>
        <v>2600</v>
      </c>
      <c r="X29" s="52"/>
      <c r="Y29" s="52">
        <f t="shared" ref="Y29:AE29" si="74">+Y27*Y28</f>
        <v>2600</v>
      </c>
      <c r="Z29" s="52">
        <f t="shared" si="74"/>
        <v>5000</v>
      </c>
      <c r="AA29" s="52">
        <f t="shared" si="74"/>
        <v>5000</v>
      </c>
      <c r="AB29" s="52">
        <f t="shared" si="74"/>
        <v>5000</v>
      </c>
      <c r="AC29" s="52">
        <f t="shared" si="74"/>
        <v>5000</v>
      </c>
      <c r="AD29" s="52">
        <f t="shared" si="74"/>
        <v>3600</v>
      </c>
      <c r="AE29" s="52">
        <f t="shared" si="74"/>
        <v>2600</v>
      </c>
      <c r="AF29" s="52"/>
      <c r="AG29" s="52">
        <f t="shared" ref="AG29:AM29" si="75">+AG27*AG28</f>
        <v>2600</v>
      </c>
      <c r="AH29" s="52">
        <f t="shared" si="75"/>
        <v>3600</v>
      </c>
      <c r="AI29" s="52">
        <f t="shared" si="75"/>
        <v>2600</v>
      </c>
      <c r="AJ29" s="52">
        <f t="shared" si="75"/>
        <v>2600</v>
      </c>
      <c r="AK29" s="52">
        <f t="shared" si="75"/>
        <v>2600</v>
      </c>
      <c r="AL29" s="52">
        <f t="shared" si="75"/>
        <v>2600</v>
      </c>
      <c r="AM29" s="52">
        <f t="shared" si="75"/>
        <v>2600</v>
      </c>
      <c r="AN29" s="52"/>
      <c r="AO29" s="45"/>
      <c r="AP29" s="2"/>
    </row>
    <row r="30" spans="1:42" ht="12.6" customHeight="1" x14ac:dyDescent="0.3">
      <c r="A30" s="51" t="s">
        <v>280</v>
      </c>
      <c r="B30" s="75"/>
      <c r="C30" s="53">
        <f>+C26/C29</f>
        <v>0.53987765192307702</v>
      </c>
      <c r="D30" s="53">
        <f t="shared" ref="D30:I30" si="76">+D26/D29</f>
        <v>0.61703149807692315</v>
      </c>
      <c r="E30" s="53">
        <f t="shared" si="76"/>
        <v>0.32422380576923077</v>
      </c>
      <c r="F30" s="53">
        <f t="shared" si="76"/>
        <v>0.39556995961538466</v>
      </c>
      <c r="G30" s="53">
        <f t="shared" si="76"/>
        <v>0.32933919038461534</v>
      </c>
      <c r="H30" s="53"/>
      <c r="I30" s="53">
        <f t="shared" si="76"/>
        <v>0.26710842115384614</v>
      </c>
      <c r="J30" s="53">
        <f t="shared" ref="J30:O30" si="77">+J26/J29</f>
        <v>0.51819637899999993</v>
      </c>
      <c r="K30" s="53">
        <f t="shared" si="77"/>
        <v>0.55285637900000006</v>
      </c>
      <c r="L30" s="53">
        <f t="shared" si="77"/>
        <v>0.36533637900000004</v>
      </c>
      <c r="M30" s="53">
        <f t="shared" si="77"/>
        <v>0.46916163749999995</v>
      </c>
      <c r="N30" s="53">
        <f t="shared" si="77"/>
        <v>0.49545457500000006</v>
      </c>
      <c r="O30" s="53">
        <f t="shared" si="77"/>
        <v>0.21460842115384615</v>
      </c>
      <c r="P30" s="53"/>
      <c r="Q30" s="53">
        <f t="shared" ref="Q30:W30" si="78">+Q26/Q29</f>
        <v>0.51245457500000002</v>
      </c>
      <c r="R30" s="53">
        <f t="shared" si="78"/>
        <v>0.53663113365384618</v>
      </c>
      <c r="S30" s="53">
        <f t="shared" si="78"/>
        <v>0.55424651826923077</v>
      </c>
      <c r="T30" s="53">
        <f t="shared" si="78"/>
        <v>0.54159637900000002</v>
      </c>
      <c r="U30" s="53">
        <f t="shared" si="78"/>
        <v>0.59046719305555562</v>
      </c>
      <c r="V30" s="53">
        <f t="shared" si="78"/>
        <v>0.48599497083333343</v>
      </c>
      <c r="W30" s="53">
        <f t="shared" si="78"/>
        <v>0.71552254615384614</v>
      </c>
      <c r="X30" s="53"/>
      <c r="Y30" s="53">
        <f t="shared" ref="Y30:AE30" si="79">+Y26/Y29</f>
        <v>0.49656995961538469</v>
      </c>
      <c r="Z30" s="53">
        <f t="shared" si="79"/>
        <v>0.44685637900000003</v>
      </c>
      <c r="AA30" s="53">
        <f t="shared" si="79"/>
        <v>0.48881637899999997</v>
      </c>
      <c r="AB30" s="53">
        <f t="shared" si="79"/>
        <v>0.50903637899999998</v>
      </c>
      <c r="AC30" s="53">
        <f t="shared" si="79"/>
        <v>0.43525637900000003</v>
      </c>
      <c r="AD30" s="53">
        <f t="shared" si="79"/>
        <v>0.51738385972222234</v>
      </c>
      <c r="AE30" s="53">
        <f t="shared" si="79"/>
        <v>0.74091611346153841</v>
      </c>
      <c r="AF30" s="53"/>
      <c r="AG30" s="53">
        <f t="shared" ref="AG30:AM30" si="80">+AG26/AG29</f>
        <v>0.36756995961538463</v>
      </c>
      <c r="AH30" s="53">
        <f t="shared" si="80"/>
        <v>0.41196719305555557</v>
      </c>
      <c r="AI30" s="53">
        <f t="shared" si="80"/>
        <v>0.48080072884615388</v>
      </c>
      <c r="AJ30" s="53">
        <f t="shared" si="80"/>
        <v>0.48249303653846159</v>
      </c>
      <c r="AK30" s="53">
        <f t="shared" si="80"/>
        <v>0.38599303653846156</v>
      </c>
      <c r="AL30" s="53">
        <f t="shared" si="80"/>
        <v>0.34280072884615381</v>
      </c>
      <c r="AM30" s="53">
        <f t="shared" si="80"/>
        <v>0.21660842115384613</v>
      </c>
      <c r="AN30" s="53"/>
      <c r="AO30" s="45"/>
      <c r="AP30" s="2"/>
    </row>
    <row r="31" spans="1:42" ht="12.6" customHeight="1" x14ac:dyDescent="0.3">
      <c r="A31" s="51" t="s">
        <v>257</v>
      </c>
      <c r="B31" s="6"/>
      <c r="C31" s="5" t="str">
        <f>IF(C30&lt;1,"OK","ＮＧ")</f>
        <v>OK</v>
      </c>
      <c r="D31" s="5" t="str">
        <f t="shared" ref="D31:I31" si="81">IF(D30&lt;1,"OK","ＮＧ")</f>
        <v>OK</v>
      </c>
      <c r="E31" s="5" t="str">
        <f t="shared" si="81"/>
        <v>OK</v>
      </c>
      <c r="F31" s="5" t="str">
        <f t="shared" si="81"/>
        <v>OK</v>
      </c>
      <c r="G31" s="5" t="str">
        <f t="shared" si="81"/>
        <v>OK</v>
      </c>
      <c r="H31" s="5"/>
      <c r="I31" s="5" t="str">
        <f t="shared" si="81"/>
        <v>OK</v>
      </c>
      <c r="J31" s="5" t="str">
        <f t="shared" ref="J31:O31" si="82">IF(J30&lt;1,"OK","ＮＧ")</f>
        <v>OK</v>
      </c>
      <c r="K31" s="5" t="str">
        <f t="shared" si="82"/>
        <v>OK</v>
      </c>
      <c r="L31" s="5" t="str">
        <f t="shared" si="82"/>
        <v>OK</v>
      </c>
      <c r="M31" s="5" t="str">
        <f t="shared" si="82"/>
        <v>OK</v>
      </c>
      <c r="N31" s="5" t="str">
        <f t="shared" si="82"/>
        <v>OK</v>
      </c>
      <c r="O31" s="5" t="str">
        <f t="shared" si="82"/>
        <v>OK</v>
      </c>
      <c r="P31" s="5"/>
      <c r="Q31" s="5" t="str">
        <f t="shared" ref="Q31:W31" si="83">IF(Q30&lt;1,"OK","ＮＧ")</f>
        <v>OK</v>
      </c>
      <c r="R31" s="5" t="str">
        <f t="shared" si="83"/>
        <v>OK</v>
      </c>
      <c r="S31" s="5" t="str">
        <f t="shared" si="83"/>
        <v>OK</v>
      </c>
      <c r="T31" s="5" t="str">
        <f t="shared" si="83"/>
        <v>OK</v>
      </c>
      <c r="U31" s="5" t="str">
        <f t="shared" si="83"/>
        <v>OK</v>
      </c>
      <c r="V31" s="5" t="str">
        <f t="shared" si="83"/>
        <v>OK</v>
      </c>
      <c r="W31" s="5" t="str">
        <f t="shared" si="83"/>
        <v>OK</v>
      </c>
      <c r="X31" s="5"/>
      <c r="Y31" s="5" t="str">
        <f t="shared" ref="Y31:AE31" si="84">IF(Y30&lt;1,"OK","ＮＧ")</f>
        <v>OK</v>
      </c>
      <c r="Z31" s="5" t="str">
        <f t="shared" si="84"/>
        <v>OK</v>
      </c>
      <c r="AA31" s="5" t="str">
        <f t="shared" si="84"/>
        <v>OK</v>
      </c>
      <c r="AB31" s="5" t="str">
        <f t="shared" si="84"/>
        <v>OK</v>
      </c>
      <c r="AC31" s="5" t="str">
        <f t="shared" si="84"/>
        <v>OK</v>
      </c>
      <c r="AD31" s="5" t="str">
        <f t="shared" si="84"/>
        <v>OK</v>
      </c>
      <c r="AE31" s="5" t="str">
        <f t="shared" si="84"/>
        <v>OK</v>
      </c>
      <c r="AF31" s="5"/>
      <c r="AG31" s="5" t="str">
        <f t="shared" ref="AG31:AM31" si="85">IF(AG30&lt;1,"OK","ＮＧ")</f>
        <v>OK</v>
      </c>
      <c r="AH31" s="5" t="str">
        <f t="shared" si="85"/>
        <v>OK</v>
      </c>
      <c r="AI31" s="5" t="str">
        <f t="shared" si="85"/>
        <v>OK</v>
      </c>
      <c r="AJ31" s="5" t="str">
        <f t="shared" si="85"/>
        <v>OK</v>
      </c>
      <c r="AK31" s="5" t="str">
        <f t="shared" si="85"/>
        <v>OK</v>
      </c>
      <c r="AL31" s="5" t="str">
        <f t="shared" si="85"/>
        <v>OK</v>
      </c>
      <c r="AM31" s="5" t="str">
        <f t="shared" si="85"/>
        <v>OK</v>
      </c>
      <c r="AN31" s="5"/>
      <c r="AO31" s="45"/>
      <c r="AP31" s="2"/>
    </row>
    <row r="32" spans="1:42" ht="12.6" customHeight="1" x14ac:dyDescent="0.3">
      <c r="A32" s="79" t="s">
        <v>258</v>
      </c>
      <c r="B32" s="80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45"/>
      <c r="AP32" s="2"/>
    </row>
    <row r="33" spans="1:42" ht="12.6" customHeight="1" x14ac:dyDescent="0.3">
      <c r="A33" s="81" t="s">
        <v>207</v>
      </c>
      <c r="B33" s="61"/>
      <c r="C33" s="62">
        <f>+C18+C21+C25</f>
        <v>1403.6818950000002</v>
      </c>
      <c r="D33" s="62">
        <f>+D18+D21+D25</f>
        <v>1604.2818950000001</v>
      </c>
      <c r="E33" s="62">
        <f>+E18+E21+E25</f>
        <v>842.98189500000001</v>
      </c>
      <c r="F33" s="62">
        <f>+F18+F21+F25</f>
        <v>1028.4818950000001</v>
      </c>
      <c r="G33" s="62">
        <f>+G18+G21+G25</f>
        <v>856.28189499999996</v>
      </c>
      <c r="H33" s="62"/>
      <c r="I33" s="62">
        <f t="shared" ref="I33:O33" si="86">+I18+I21+I25</f>
        <v>694.48189500000001</v>
      </c>
      <c r="J33" s="62">
        <f t="shared" si="86"/>
        <v>2590.9818949999999</v>
      </c>
      <c r="K33" s="62">
        <f t="shared" si="86"/>
        <v>2764.2818950000001</v>
      </c>
      <c r="L33" s="62">
        <f t="shared" si="86"/>
        <v>1826.6818950000002</v>
      </c>
      <c r="M33" s="62">
        <f t="shared" si="86"/>
        <v>1688.9818949999999</v>
      </c>
      <c r="N33" s="62">
        <f t="shared" si="86"/>
        <v>1288.1818950000002</v>
      </c>
      <c r="O33" s="62">
        <f t="shared" si="86"/>
        <v>557.98189500000001</v>
      </c>
      <c r="P33" s="62"/>
      <c r="Q33" s="62">
        <f>+Q18+Q21+Q25</f>
        <v>1332.381895</v>
      </c>
      <c r="R33" s="62">
        <f t="shared" ref="R33:W33" si="87">+R18+R21+R25</f>
        <v>2790.4818949999999</v>
      </c>
      <c r="S33" s="62">
        <f t="shared" si="87"/>
        <v>2882.0818949999998</v>
      </c>
      <c r="T33" s="62">
        <f t="shared" si="87"/>
        <v>2707.9818950000003</v>
      </c>
      <c r="U33" s="62">
        <f t="shared" si="87"/>
        <v>2125.6818950000002</v>
      </c>
      <c r="V33" s="62">
        <f t="shared" si="87"/>
        <v>1749.5818950000003</v>
      </c>
      <c r="W33" s="62">
        <f t="shared" si="87"/>
        <v>1860.35862</v>
      </c>
      <c r="X33" s="62"/>
      <c r="Y33" s="62">
        <f>+Y18+Y21+Y25</f>
        <v>1291.0818950000003</v>
      </c>
      <c r="Z33" s="62">
        <f t="shared" ref="Z33:AE33" si="88">+Z18+Z21+Z25</f>
        <v>2234.2818950000001</v>
      </c>
      <c r="AA33" s="62">
        <f t="shared" si="88"/>
        <v>2444.0818949999998</v>
      </c>
      <c r="AB33" s="62">
        <f t="shared" si="88"/>
        <v>2545.1818949999997</v>
      </c>
      <c r="AC33" s="62">
        <f t="shared" si="88"/>
        <v>2176.2818950000001</v>
      </c>
      <c r="AD33" s="62">
        <f t="shared" si="88"/>
        <v>1862.5818950000003</v>
      </c>
      <c r="AE33" s="62">
        <f t="shared" si="88"/>
        <v>1926.381895</v>
      </c>
      <c r="AF33" s="62"/>
      <c r="AG33" s="62">
        <f>+AG18+AG21+AG25</f>
        <v>955.68189500000005</v>
      </c>
      <c r="AH33" s="62">
        <f t="shared" ref="AH33:AM33" si="89">+AH18+AH21+AH25</f>
        <v>1483.081895</v>
      </c>
      <c r="AI33" s="62">
        <f t="shared" si="89"/>
        <v>1250.081895</v>
      </c>
      <c r="AJ33" s="62">
        <f t="shared" si="89"/>
        <v>1254.4818950000001</v>
      </c>
      <c r="AK33" s="62">
        <f t="shared" si="89"/>
        <v>1003.581895</v>
      </c>
      <c r="AL33" s="62">
        <f t="shared" si="89"/>
        <v>891.28189499999996</v>
      </c>
      <c r="AM33" s="62">
        <f t="shared" si="89"/>
        <v>563.18189499999994</v>
      </c>
      <c r="AN33" s="62"/>
      <c r="AO33" s="82" t="s">
        <v>92</v>
      </c>
      <c r="AP33" s="2"/>
    </row>
    <row r="34" spans="1:42" ht="12.6" customHeight="1" x14ac:dyDescent="0.3">
      <c r="A34" s="81" t="s">
        <v>208</v>
      </c>
      <c r="B34" s="72"/>
      <c r="C34" s="52">
        <f>+C18-C21+C25</f>
        <v>1.6818949999999688</v>
      </c>
      <c r="D34" s="52">
        <f>+D18-D21+D25</f>
        <v>546.08189499999992</v>
      </c>
      <c r="E34" s="52">
        <f>+E18-E21+E25</f>
        <v>837.98189500000001</v>
      </c>
      <c r="F34" s="52">
        <f>+F18-F21+F25</f>
        <v>736.48189500000001</v>
      </c>
      <c r="G34" s="52">
        <f>+G18-G21+G25</f>
        <v>400.68189500000005</v>
      </c>
      <c r="H34" s="52"/>
      <c r="I34" s="52">
        <f t="shared" ref="I34:O34" si="90">+I18-I21+I25</f>
        <v>345.48189500000001</v>
      </c>
      <c r="J34" s="52">
        <f t="shared" si="90"/>
        <v>1225.7818950000001</v>
      </c>
      <c r="K34" s="52">
        <f t="shared" si="90"/>
        <v>1720.4818949999999</v>
      </c>
      <c r="L34" s="52">
        <f t="shared" si="90"/>
        <v>1822.881895</v>
      </c>
      <c r="M34" s="52">
        <f t="shared" si="90"/>
        <v>1680.7818950000001</v>
      </c>
      <c r="N34" s="52">
        <f t="shared" si="90"/>
        <v>1286.1818950000002</v>
      </c>
      <c r="O34" s="52">
        <f t="shared" si="90"/>
        <v>349.98189500000001</v>
      </c>
      <c r="P34" s="52"/>
      <c r="Q34" s="52">
        <f>+Q18-Q21+Q25</f>
        <v>774.58189500000003</v>
      </c>
      <c r="R34" s="52">
        <f t="shared" ref="R34:W34" si="91">+R18-R21+R25</f>
        <v>2223.0818950000003</v>
      </c>
      <c r="S34" s="52">
        <f t="shared" si="91"/>
        <v>2256.881895</v>
      </c>
      <c r="T34" s="52">
        <f t="shared" si="91"/>
        <v>1995.1818950000002</v>
      </c>
      <c r="U34" s="52">
        <f t="shared" si="91"/>
        <v>1359.881895</v>
      </c>
      <c r="V34" s="52">
        <f t="shared" si="91"/>
        <v>1058.381895</v>
      </c>
      <c r="W34" s="52">
        <f t="shared" si="91"/>
        <v>-136.84138000000007</v>
      </c>
      <c r="X34" s="52"/>
      <c r="Y34" s="52">
        <f>+Y18-Y21+Y25</f>
        <v>743.88189499999999</v>
      </c>
      <c r="Z34" s="52">
        <f t="shared" ref="Z34:AE34" si="92">+Z18-Z21+Z25</f>
        <v>1637.881895</v>
      </c>
      <c r="AA34" s="52">
        <f t="shared" si="92"/>
        <v>1790.6818949999999</v>
      </c>
      <c r="AB34" s="52">
        <f t="shared" si="92"/>
        <v>1818.7818949999998</v>
      </c>
      <c r="AC34" s="52">
        <f t="shared" si="92"/>
        <v>1414.6818950000002</v>
      </c>
      <c r="AD34" s="52">
        <f t="shared" si="92"/>
        <v>1173.381895</v>
      </c>
      <c r="AE34" s="52">
        <f t="shared" si="92"/>
        <v>-70.818105000000031</v>
      </c>
      <c r="AF34" s="52"/>
      <c r="AG34" s="52">
        <f>+AG18-AG21+AG25</f>
        <v>574.08189499999992</v>
      </c>
      <c r="AH34" s="52">
        <f t="shared" ref="AH34:AM34" si="93">+AH18-AH21+AH25</f>
        <v>1290.6818949999999</v>
      </c>
      <c r="AI34" s="52">
        <f t="shared" si="93"/>
        <v>1228.081895</v>
      </c>
      <c r="AJ34" s="52">
        <f t="shared" si="93"/>
        <v>1213.4818950000001</v>
      </c>
      <c r="AK34" s="52">
        <f t="shared" si="93"/>
        <v>905.38189499999999</v>
      </c>
      <c r="AL34" s="52">
        <f t="shared" si="93"/>
        <v>844.28189499999996</v>
      </c>
      <c r="AM34" s="52">
        <f t="shared" si="93"/>
        <v>358.98189500000001</v>
      </c>
      <c r="AN34" s="52"/>
      <c r="AO34" s="54" t="s">
        <v>93</v>
      </c>
      <c r="AP34" s="2"/>
    </row>
    <row r="35" spans="1:42" ht="12.6" customHeight="1" x14ac:dyDescent="0.3">
      <c r="A35" s="81" t="s">
        <v>94</v>
      </c>
      <c r="B35" s="72"/>
      <c r="C35" s="52">
        <f>+C26/C28</f>
        <v>1403.6818950000002</v>
      </c>
      <c r="D35" s="52">
        <f>+D26/D28</f>
        <v>1604.2818950000001</v>
      </c>
      <c r="E35" s="52">
        <f>+E26/E28</f>
        <v>842.98189500000001</v>
      </c>
      <c r="F35" s="52">
        <f>+F26/F28</f>
        <v>1028.4818950000001</v>
      </c>
      <c r="G35" s="52">
        <f>+G26/G28</f>
        <v>856.28189499999996</v>
      </c>
      <c r="H35" s="52"/>
      <c r="I35" s="52">
        <f t="shared" ref="I35:O35" si="94">+I26/I28</f>
        <v>694.48189500000001</v>
      </c>
      <c r="J35" s="52">
        <f t="shared" si="94"/>
        <v>2590.9818949999999</v>
      </c>
      <c r="K35" s="52">
        <f t="shared" si="94"/>
        <v>2764.2818950000001</v>
      </c>
      <c r="L35" s="52">
        <f t="shared" si="94"/>
        <v>1826.6818950000002</v>
      </c>
      <c r="M35" s="52">
        <f t="shared" si="94"/>
        <v>1688.9818949999999</v>
      </c>
      <c r="N35" s="52">
        <f t="shared" si="94"/>
        <v>1288.1818950000002</v>
      </c>
      <c r="O35" s="52">
        <f t="shared" si="94"/>
        <v>557.98189500000001</v>
      </c>
      <c r="P35" s="52"/>
      <c r="Q35" s="52">
        <f>+Q26/Q28</f>
        <v>1332.381895</v>
      </c>
      <c r="R35" s="52">
        <f t="shared" ref="R35:W35" si="95">+R26/R28</f>
        <v>2790.4818949999999</v>
      </c>
      <c r="S35" s="52">
        <f t="shared" si="95"/>
        <v>2882.0818949999998</v>
      </c>
      <c r="T35" s="52">
        <f t="shared" si="95"/>
        <v>2707.9818950000003</v>
      </c>
      <c r="U35" s="52">
        <f t="shared" si="95"/>
        <v>2125.6818950000002</v>
      </c>
      <c r="V35" s="52">
        <f t="shared" si="95"/>
        <v>1749.5818950000003</v>
      </c>
      <c r="W35" s="52">
        <f t="shared" si="95"/>
        <v>1860.35862</v>
      </c>
      <c r="X35" s="52"/>
      <c r="Y35" s="52">
        <f>+Y26/Y28</f>
        <v>1291.0818950000003</v>
      </c>
      <c r="Z35" s="52">
        <f t="shared" ref="Z35:AE35" si="96">+Z26/Z28</f>
        <v>2234.2818950000001</v>
      </c>
      <c r="AA35" s="52">
        <f t="shared" si="96"/>
        <v>2444.0818949999998</v>
      </c>
      <c r="AB35" s="52">
        <f t="shared" si="96"/>
        <v>2545.1818949999997</v>
      </c>
      <c r="AC35" s="52">
        <f t="shared" si="96"/>
        <v>2176.2818950000001</v>
      </c>
      <c r="AD35" s="52">
        <f t="shared" si="96"/>
        <v>1862.5818950000003</v>
      </c>
      <c r="AE35" s="52">
        <f t="shared" si="96"/>
        <v>1926.381895</v>
      </c>
      <c r="AF35" s="52"/>
      <c r="AG35" s="52">
        <f>+AG26/AG28</f>
        <v>955.68189500000005</v>
      </c>
      <c r="AH35" s="52">
        <f t="shared" ref="AH35:AM35" si="97">+AH26/AH28</f>
        <v>1483.081895</v>
      </c>
      <c r="AI35" s="52">
        <f t="shared" si="97"/>
        <v>1250.081895</v>
      </c>
      <c r="AJ35" s="52">
        <f t="shared" si="97"/>
        <v>1254.4818950000001</v>
      </c>
      <c r="AK35" s="52">
        <f t="shared" si="97"/>
        <v>1003.581895</v>
      </c>
      <c r="AL35" s="52">
        <f t="shared" si="97"/>
        <v>891.28189499999996</v>
      </c>
      <c r="AM35" s="52">
        <f t="shared" si="97"/>
        <v>563.18189499999994</v>
      </c>
      <c r="AN35" s="52"/>
      <c r="AO35" s="83">
        <f>MAX(B35:AN35)</f>
        <v>2882.0818949999998</v>
      </c>
      <c r="AP35" s="2"/>
    </row>
    <row r="36" spans="1:42" ht="12.6" customHeight="1" x14ac:dyDescent="0.3">
      <c r="A36" s="79" t="s">
        <v>95</v>
      </c>
      <c r="B36" s="84"/>
      <c r="C36" s="85">
        <f>+C34/C28</f>
        <v>1.6818949999999688</v>
      </c>
      <c r="D36" s="85">
        <f>+D34/D28</f>
        <v>546.08189499999992</v>
      </c>
      <c r="E36" s="85">
        <f>+E34/E28</f>
        <v>837.98189500000001</v>
      </c>
      <c r="F36" s="85">
        <f>+F34/F28</f>
        <v>736.48189500000001</v>
      </c>
      <c r="G36" s="85">
        <f>+G34/G28</f>
        <v>400.68189500000005</v>
      </c>
      <c r="H36" s="85"/>
      <c r="I36" s="85">
        <f t="shared" ref="I36:O36" si="98">+I34/I28</f>
        <v>345.48189500000001</v>
      </c>
      <c r="J36" s="85">
        <f t="shared" si="98"/>
        <v>1225.7818950000001</v>
      </c>
      <c r="K36" s="85">
        <f t="shared" si="98"/>
        <v>1720.4818949999999</v>
      </c>
      <c r="L36" s="85">
        <f t="shared" si="98"/>
        <v>1822.881895</v>
      </c>
      <c r="M36" s="85">
        <f t="shared" si="98"/>
        <v>1680.7818950000001</v>
      </c>
      <c r="N36" s="85">
        <f t="shared" si="98"/>
        <v>1286.1818950000002</v>
      </c>
      <c r="O36" s="85">
        <f t="shared" si="98"/>
        <v>349.98189500000001</v>
      </c>
      <c r="P36" s="85"/>
      <c r="Q36" s="85">
        <f>+Q34/Q28</f>
        <v>774.58189500000003</v>
      </c>
      <c r="R36" s="85">
        <f t="shared" ref="R36:W36" si="99">+R34/R28</f>
        <v>2223.0818950000003</v>
      </c>
      <c r="S36" s="85">
        <f t="shared" si="99"/>
        <v>2256.881895</v>
      </c>
      <c r="T36" s="85">
        <f t="shared" si="99"/>
        <v>1995.1818950000002</v>
      </c>
      <c r="U36" s="85">
        <f t="shared" si="99"/>
        <v>1359.881895</v>
      </c>
      <c r="V36" s="85">
        <f t="shared" si="99"/>
        <v>1058.381895</v>
      </c>
      <c r="W36" s="85">
        <f t="shared" si="99"/>
        <v>-136.84138000000007</v>
      </c>
      <c r="X36" s="85"/>
      <c r="Y36" s="85">
        <f>+Y34/Y28</f>
        <v>743.88189499999999</v>
      </c>
      <c r="Z36" s="85">
        <f t="shared" ref="Z36:AE36" si="100">+Z34/Z28</f>
        <v>1637.881895</v>
      </c>
      <c r="AA36" s="85">
        <f t="shared" si="100"/>
        <v>1790.6818949999999</v>
      </c>
      <c r="AB36" s="85">
        <f t="shared" si="100"/>
        <v>1818.7818949999998</v>
      </c>
      <c r="AC36" s="85">
        <f t="shared" si="100"/>
        <v>1414.6818950000002</v>
      </c>
      <c r="AD36" s="85">
        <f t="shared" si="100"/>
        <v>1173.381895</v>
      </c>
      <c r="AE36" s="85">
        <f t="shared" si="100"/>
        <v>-70.818105000000031</v>
      </c>
      <c r="AF36" s="85"/>
      <c r="AG36" s="85">
        <f>+AG34/AG28</f>
        <v>574.08189499999992</v>
      </c>
      <c r="AH36" s="85">
        <f t="shared" ref="AH36:AM36" si="101">+AH34/AH28</f>
        <v>1290.6818949999999</v>
      </c>
      <c r="AI36" s="85">
        <f t="shared" si="101"/>
        <v>1228.081895</v>
      </c>
      <c r="AJ36" s="85">
        <f t="shared" si="101"/>
        <v>1213.4818950000001</v>
      </c>
      <c r="AK36" s="85">
        <f t="shared" si="101"/>
        <v>905.38189499999999</v>
      </c>
      <c r="AL36" s="85">
        <f t="shared" si="101"/>
        <v>844.28189499999996</v>
      </c>
      <c r="AM36" s="85">
        <f t="shared" si="101"/>
        <v>358.98189500000001</v>
      </c>
      <c r="AN36" s="85"/>
      <c r="AO36" s="86">
        <f>MIN(B36:AN36)</f>
        <v>-136.84138000000007</v>
      </c>
      <c r="AP36" s="2"/>
    </row>
    <row r="37" spans="1:42" ht="12.6" customHeight="1" x14ac:dyDescent="0.3">
      <c r="A37" s="18" t="s">
        <v>281</v>
      </c>
      <c r="B37" s="2" t="s">
        <v>260</v>
      </c>
      <c r="F37" s="18" t="s">
        <v>209</v>
      </c>
      <c r="G37" s="2" t="s">
        <v>261</v>
      </c>
      <c r="J37" s="18" t="s">
        <v>96</v>
      </c>
      <c r="K37" s="2" t="s">
        <v>262</v>
      </c>
      <c r="M37" s="4"/>
      <c r="N37" s="4"/>
      <c r="O37" s="87" t="s">
        <v>210</v>
      </c>
      <c r="P37" s="88" t="s">
        <v>263</v>
      </c>
      <c r="Q37" s="8"/>
    </row>
    <row r="38" spans="1:42" ht="12.6" customHeight="1" x14ac:dyDescent="0.3">
      <c r="A38" s="18" t="s">
        <v>264</v>
      </c>
      <c r="B38" s="2" t="s">
        <v>265</v>
      </c>
      <c r="F38" s="18" t="s">
        <v>211</v>
      </c>
      <c r="G38" s="2" t="s">
        <v>266</v>
      </c>
      <c r="J38" s="18" t="s">
        <v>97</v>
      </c>
      <c r="K38" s="2" t="s">
        <v>267</v>
      </c>
      <c r="O38" s="87" t="s">
        <v>212</v>
      </c>
      <c r="P38" s="88" t="s">
        <v>268</v>
      </c>
    </row>
    <row r="39" spans="1:42" ht="12.6" customHeight="1" x14ac:dyDescent="0.3">
      <c r="A39" s="18" t="s">
        <v>269</v>
      </c>
      <c r="B39" s="2" t="s">
        <v>270</v>
      </c>
      <c r="F39" s="18"/>
      <c r="J39" s="89" t="s">
        <v>98</v>
      </c>
      <c r="K39" s="2" t="s">
        <v>271</v>
      </c>
      <c r="N39" s="18"/>
    </row>
  </sheetData>
  <phoneticPr fontId="2"/>
  <pageMargins left="0.98425196850393704" right="0.39370078740157483" top="0.98425196850393704" bottom="0.78740157480314965" header="0.51181102362204722" footer="0.51181102362204722"/>
  <pageSetup paperSize="8" orientation="landscape" horizontalDpi="400" verticalDpi="400" r:id="rId1"/>
  <headerFooter alignWithMargins="0">
    <oddFooter>&amp;C&amp;1#&amp;"Calibri"&amp;10&amp;K000000Confidential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B1:M104"/>
  <sheetViews>
    <sheetView workbookViewId="0">
      <selection activeCell="F21" sqref="F21"/>
    </sheetView>
  </sheetViews>
  <sheetFormatPr defaultColWidth="9" defaultRowHeight="14.1" customHeight="1" x14ac:dyDescent="0.3"/>
  <cols>
    <col min="1" max="1" width="2.62890625" style="2" customWidth="1"/>
    <col min="2" max="2" width="25.1015625" style="2" customWidth="1"/>
    <col min="3" max="3" width="12.89453125" style="3" customWidth="1"/>
    <col min="4" max="4" width="9.3671875" style="2" customWidth="1"/>
    <col min="5" max="16384" width="9" style="2"/>
  </cols>
  <sheetData>
    <row r="1" spans="2:13" ht="14.1" customHeight="1" x14ac:dyDescent="0.3">
      <c r="B1" s="2" t="s">
        <v>624</v>
      </c>
    </row>
    <row r="3" spans="2:13" ht="14.1" customHeight="1" x14ac:dyDescent="0.3">
      <c r="B3" s="463" t="s">
        <v>559</v>
      </c>
      <c r="C3" s="464"/>
      <c r="D3" s="464"/>
      <c r="E3" s="470" t="s">
        <v>201</v>
      </c>
      <c r="F3" s="464"/>
      <c r="G3" s="464"/>
      <c r="H3" s="464"/>
      <c r="I3" s="14"/>
      <c r="J3" s="14"/>
      <c r="K3" s="14"/>
      <c r="L3" s="14"/>
      <c r="M3" s="15"/>
    </row>
    <row r="4" spans="2:13" ht="14.1" customHeight="1" x14ac:dyDescent="0.3">
      <c r="B4" s="81" t="s">
        <v>560</v>
      </c>
      <c r="C4" s="5" t="s">
        <v>177</v>
      </c>
      <c r="D4" s="8" t="s">
        <v>561</v>
      </c>
      <c r="E4" s="7"/>
      <c r="F4" s="87" t="s">
        <v>178</v>
      </c>
      <c r="G4" s="153">
        <v>21</v>
      </c>
      <c r="H4" s="8"/>
      <c r="I4" s="4"/>
      <c r="J4" s="4"/>
      <c r="K4" s="4"/>
      <c r="L4" s="4"/>
      <c r="M4" s="8"/>
    </row>
    <row r="5" spans="2:13" ht="14.1" customHeight="1" x14ac:dyDescent="0.3">
      <c r="B5" s="81" t="s">
        <v>562</v>
      </c>
      <c r="C5" s="5" t="s">
        <v>179</v>
      </c>
      <c r="D5" s="8"/>
      <c r="E5" s="447" t="s">
        <v>180</v>
      </c>
      <c r="F5" s="456"/>
      <c r="G5" s="456"/>
      <c r="H5" s="455"/>
      <c r="I5" s="4"/>
      <c r="J5" s="4"/>
      <c r="K5" s="5"/>
      <c r="L5" s="4"/>
      <c r="M5" s="8"/>
    </row>
    <row r="6" spans="2:13" ht="14.1" customHeight="1" x14ac:dyDescent="0.3">
      <c r="B6" s="79"/>
      <c r="C6" s="56" t="s">
        <v>563</v>
      </c>
      <c r="D6" s="12"/>
      <c r="E6" s="466" t="s">
        <v>181</v>
      </c>
      <c r="F6" s="461"/>
      <c r="G6" s="461"/>
      <c r="H6" s="462"/>
      <c r="I6" s="4"/>
      <c r="J6" s="4"/>
      <c r="K6" s="5"/>
      <c r="L6" s="4"/>
      <c r="M6" s="8"/>
    </row>
    <row r="7" spans="2:13" ht="14.1" customHeight="1" x14ac:dyDescent="0.3">
      <c r="B7" s="10"/>
      <c r="C7" s="56"/>
      <c r="D7" s="12"/>
      <c r="E7" s="447" t="s">
        <v>196</v>
      </c>
      <c r="F7" s="449"/>
      <c r="G7" s="456" t="s">
        <v>197</v>
      </c>
      <c r="H7" s="449"/>
      <c r="I7" s="7"/>
      <c r="J7" s="4"/>
      <c r="K7" s="4"/>
      <c r="L7" s="4"/>
      <c r="M7" s="8"/>
    </row>
    <row r="8" spans="2:13" ht="14.1" customHeight="1" x14ac:dyDescent="0.3">
      <c r="B8" s="154" t="s">
        <v>564</v>
      </c>
      <c r="C8" s="155" t="s">
        <v>172</v>
      </c>
      <c r="D8" s="156" t="s">
        <v>565</v>
      </c>
      <c r="E8" s="467">
        <f>G4/3</f>
        <v>7</v>
      </c>
      <c r="F8" s="468"/>
      <c r="G8" s="469">
        <f>E8*2</f>
        <v>14</v>
      </c>
      <c r="H8" s="468"/>
      <c r="I8" s="7"/>
      <c r="J8" s="4"/>
      <c r="K8" s="4"/>
      <c r="L8" s="4"/>
      <c r="M8" s="8"/>
    </row>
    <row r="9" spans="2:13" ht="14.1" customHeight="1" x14ac:dyDescent="0.3">
      <c r="B9" s="81" t="s">
        <v>566</v>
      </c>
      <c r="C9" s="5" t="s">
        <v>172</v>
      </c>
      <c r="D9" s="8" t="s">
        <v>565</v>
      </c>
      <c r="E9" s="447">
        <f>G4/30</f>
        <v>0.7</v>
      </c>
      <c r="F9" s="455"/>
      <c r="G9" s="456">
        <f>E9*1.5</f>
        <v>1.0499999999999998</v>
      </c>
      <c r="H9" s="455"/>
      <c r="I9" s="7"/>
      <c r="J9" s="4"/>
      <c r="K9" s="4"/>
      <c r="L9" s="4"/>
      <c r="M9" s="8"/>
    </row>
    <row r="10" spans="2:13" ht="14.1" customHeight="1" x14ac:dyDescent="0.3">
      <c r="B10" s="81" t="s">
        <v>567</v>
      </c>
      <c r="C10" s="5" t="s">
        <v>568</v>
      </c>
      <c r="D10" s="8" t="s">
        <v>168</v>
      </c>
      <c r="E10" s="457">
        <v>1503</v>
      </c>
      <c r="F10" s="458"/>
      <c r="G10" s="459">
        <v>1933</v>
      </c>
      <c r="H10" s="460"/>
      <c r="I10" s="7"/>
      <c r="J10" s="4"/>
      <c r="K10" s="4"/>
      <c r="L10" s="4"/>
      <c r="M10" s="8"/>
    </row>
    <row r="11" spans="2:13" ht="14.1" customHeight="1" x14ac:dyDescent="0.3">
      <c r="B11" s="79" t="s">
        <v>569</v>
      </c>
      <c r="C11" s="56" t="s">
        <v>570</v>
      </c>
      <c r="D11" s="12"/>
      <c r="E11" s="453">
        <v>1</v>
      </c>
      <c r="F11" s="454"/>
      <c r="G11" s="461">
        <v>1</v>
      </c>
      <c r="H11" s="462"/>
      <c r="I11" s="7"/>
      <c r="J11" s="4"/>
      <c r="K11" s="4"/>
      <c r="L11" s="4"/>
      <c r="M11" s="8"/>
    </row>
    <row r="12" spans="2:13" ht="14.1" customHeight="1" x14ac:dyDescent="0.3">
      <c r="B12" s="463" t="s">
        <v>170</v>
      </c>
      <c r="C12" s="464"/>
      <c r="D12" s="465"/>
      <c r="E12" s="6" t="s">
        <v>571</v>
      </c>
      <c r="F12" s="158" t="s">
        <v>572</v>
      </c>
      <c r="G12" s="5" t="s">
        <v>571</v>
      </c>
      <c r="H12" s="158" t="s">
        <v>572</v>
      </c>
      <c r="I12" s="7"/>
      <c r="J12" s="4"/>
      <c r="K12" s="4"/>
      <c r="L12" s="4"/>
      <c r="M12" s="8"/>
    </row>
    <row r="13" spans="2:13" ht="14.1" customHeight="1" x14ac:dyDescent="0.3">
      <c r="B13" s="154" t="s">
        <v>573</v>
      </c>
      <c r="C13" s="155" t="s">
        <v>182</v>
      </c>
      <c r="D13" s="156" t="s">
        <v>183</v>
      </c>
      <c r="E13" s="159">
        <v>1300</v>
      </c>
      <c r="F13" s="160">
        <v>1300</v>
      </c>
      <c r="G13" s="161">
        <f>E13</f>
        <v>1300</v>
      </c>
      <c r="H13" s="162">
        <f>F13</f>
        <v>1300</v>
      </c>
      <c r="I13" s="7"/>
      <c r="J13" s="4"/>
      <c r="K13" s="4"/>
      <c r="L13" s="4"/>
      <c r="M13" s="8"/>
    </row>
    <row r="14" spans="2:13" ht="14.1" customHeight="1" x14ac:dyDescent="0.3">
      <c r="B14" s="81" t="s">
        <v>202</v>
      </c>
      <c r="C14" s="5" t="s">
        <v>184</v>
      </c>
      <c r="D14" s="8" t="s">
        <v>183</v>
      </c>
      <c r="E14" s="163">
        <v>900</v>
      </c>
      <c r="F14" s="78">
        <f>E14</f>
        <v>900</v>
      </c>
      <c r="G14" s="164">
        <f>F14</f>
        <v>900</v>
      </c>
      <c r="H14" s="165">
        <f>G14</f>
        <v>900</v>
      </c>
      <c r="I14" s="7"/>
      <c r="J14" s="4"/>
      <c r="K14" s="4"/>
      <c r="L14" s="4"/>
      <c r="M14" s="8"/>
    </row>
    <row r="15" spans="2:13" ht="14.1" customHeight="1" x14ac:dyDescent="0.3">
      <c r="B15" s="7"/>
      <c r="C15" s="5" t="s">
        <v>185</v>
      </c>
      <c r="D15" s="8" t="s">
        <v>183</v>
      </c>
      <c r="E15" s="164">
        <f>E14-180</f>
        <v>720</v>
      </c>
      <c r="F15" s="78">
        <f>F14-180</f>
        <v>720</v>
      </c>
      <c r="G15" s="164">
        <f>G14-180</f>
        <v>720</v>
      </c>
      <c r="H15" s="165">
        <f>H14-180</f>
        <v>720</v>
      </c>
      <c r="I15" s="7"/>
      <c r="J15" s="4"/>
      <c r="K15" s="4"/>
      <c r="L15" s="4"/>
      <c r="M15" s="8"/>
    </row>
    <row r="16" spans="2:13" ht="14.1" customHeight="1" x14ac:dyDescent="0.3">
      <c r="B16" s="7"/>
      <c r="C16" s="5" t="s">
        <v>186</v>
      </c>
      <c r="D16" s="8" t="s">
        <v>183</v>
      </c>
      <c r="E16" s="164">
        <f>E15*7/8</f>
        <v>630</v>
      </c>
      <c r="F16" s="78">
        <f>F15*7/8</f>
        <v>630</v>
      </c>
      <c r="G16" s="164">
        <f>G15*7/8</f>
        <v>630</v>
      </c>
      <c r="H16" s="165">
        <f>H15*7/8</f>
        <v>630</v>
      </c>
      <c r="I16" s="7"/>
      <c r="J16" s="4"/>
      <c r="K16" s="4"/>
      <c r="L16" s="4"/>
      <c r="M16" s="8"/>
    </row>
    <row r="17" spans="2:13" ht="14.1" customHeight="1" x14ac:dyDescent="0.3">
      <c r="B17" s="79" t="s">
        <v>187</v>
      </c>
      <c r="C17" s="56" t="s">
        <v>188</v>
      </c>
      <c r="D17" s="12"/>
      <c r="E17" s="166">
        <v>0.2</v>
      </c>
      <c r="F17" s="167">
        <v>0.2</v>
      </c>
      <c r="G17" s="168">
        <f>E17</f>
        <v>0.2</v>
      </c>
      <c r="H17" s="147">
        <f>F17</f>
        <v>0.2</v>
      </c>
      <c r="I17" s="7"/>
      <c r="J17" s="4"/>
      <c r="K17" s="4"/>
      <c r="L17" s="4"/>
      <c r="M17" s="8"/>
    </row>
    <row r="18" spans="2:13" ht="14.1" customHeight="1" x14ac:dyDescent="0.3">
      <c r="B18" s="81" t="s">
        <v>189</v>
      </c>
      <c r="C18" s="5" t="s">
        <v>174</v>
      </c>
      <c r="D18" s="8" t="s">
        <v>171</v>
      </c>
      <c r="E18" s="77">
        <f>E10/E11*E17</f>
        <v>300.60000000000002</v>
      </c>
      <c r="F18" s="164">
        <f>E10/E11*F17</f>
        <v>300.60000000000002</v>
      </c>
      <c r="G18" s="78">
        <f>G10/G11*G17</f>
        <v>386.6</v>
      </c>
      <c r="H18" s="164">
        <f>G10/G11*H17</f>
        <v>386.6</v>
      </c>
      <c r="I18" s="7"/>
      <c r="J18" s="4"/>
      <c r="K18" s="4"/>
      <c r="L18" s="4"/>
      <c r="M18" s="8"/>
    </row>
    <row r="19" spans="2:13" ht="14.1" customHeight="1" x14ac:dyDescent="0.3">
      <c r="B19" s="81" t="s">
        <v>198</v>
      </c>
      <c r="C19" s="5" t="s">
        <v>176</v>
      </c>
      <c r="D19" s="8" t="s">
        <v>574</v>
      </c>
      <c r="E19" s="169">
        <f>E18*1000/(F13*E16)</f>
        <v>0.36703296703296701</v>
      </c>
      <c r="F19" s="170">
        <f>F18*1000/(E13*F16)</f>
        <v>0.36703296703296701</v>
      </c>
      <c r="G19" s="169">
        <f>G18*1000/(H13*G16)</f>
        <v>0.47203907203907203</v>
      </c>
      <c r="H19" s="170">
        <f>H18*1000/(G13*H16)</f>
        <v>0.47203907203907203</v>
      </c>
      <c r="I19" s="7"/>
      <c r="J19" s="4"/>
      <c r="K19" s="4"/>
      <c r="L19" s="4"/>
      <c r="M19" s="8"/>
    </row>
    <row r="20" spans="2:13" ht="14.1" customHeight="1" x14ac:dyDescent="0.3">
      <c r="B20" s="447" t="s">
        <v>199</v>
      </c>
      <c r="C20" s="456"/>
      <c r="D20" s="455"/>
      <c r="E20" s="169">
        <f>+E19/E9</f>
        <v>0.52433281004709575</v>
      </c>
      <c r="F20" s="170">
        <f>F19/E9</f>
        <v>0.52433281004709575</v>
      </c>
      <c r="G20" s="36">
        <f>+G19/G9</f>
        <v>0.4495610209895925</v>
      </c>
      <c r="H20" s="170">
        <f>+H19/G9</f>
        <v>0.4495610209895925</v>
      </c>
      <c r="I20" s="7"/>
      <c r="J20" s="4"/>
      <c r="K20" s="4"/>
      <c r="L20" s="4"/>
      <c r="M20" s="8"/>
    </row>
    <row r="21" spans="2:13" ht="14.1" customHeight="1" x14ac:dyDescent="0.3">
      <c r="B21" s="466" t="s">
        <v>257</v>
      </c>
      <c r="C21" s="461"/>
      <c r="D21" s="462"/>
      <c r="E21" s="171" t="str">
        <f>IF(E20&lt;1,"OK","NG")</f>
        <v>OK</v>
      </c>
      <c r="F21" s="172" t="str">
        <f>IF(F20&lt;1,"OK","NG")</f>
        <v>OK</v>
      </c>
      <c r="G21" s="173" t="str">
        <f>IF(G20&lt;1,"OK","NG")</f>
        <v>OK</v>
      </c>
      <c r="H21" s="172" t="str">
        <f>IF(H20&lt;1,"OK","NG")</f>
        <v>OK</v>
      </c>
      <c r="I21" s="7"/>
      <c r="J21" s="4"/>
      <c r="K21" s="4"/>
      <c r="L21" s="4"/>
      <c r="M21" s="8"/>
    </row>
    <row r="22" spans="2:13" ht="14.1" customHeight="1" x14ac:dyDescent="0.3">
      <c r="B22" s="81" t="s">
        <v>575</v>
      </c>
      <c r="C22" s="5" t="s">
        <v>190</v>
      </c>
      <c r="D22" s="8" t="s">
        <v>183</v>
      </c>
      <c r="E22" s="174">
        <v>100</v>
      </c>
      <c r="F22" s="159">
        <v>100</v>
      </c>
      <c r="G22" s="78">
        <f>E22</f>
        <v>100</v>
      </c>
      <c r="H22" s="164">
        <f>F22</f>
        <v>100</v>
      </c>
      <c r="I22" s="7"/>
      <c r="J22" s="4"/>
      <c r="K22" s="4"/>
      <c r="L22" s="4"/>
      <c r="M22" s="8"/>
    </row>
    <row r="23" spans="2:13" ht="14.1" customHeight="1" x14ac:dyDescent="0.3">
      <c r="B23" s="81" t="s">
        <v>203</v>
      </c>
      <c r="C23" s="5" t="s">
        <v>191</v>
      </c>
      <c r="D23" s="8" t="s">
        <v>200</v>
      </c>
      <c r="E23" s="77">
        <f>E18*E22/1000</f>
        <v>30.060000000000002</v>
      </c>
      <c r="F23" s="164">
        <f>F18*F22/1000</f>
        <v>30.060000000000002</v>
      </c>
      <c r="G23" s="78">
        <f>G18*G22/1000</f>
        <v>38.659999999999997</v>
      </c>
      <c r="H23" s="77">
        <f>H18*H22/1000</f>
        <v>38.659999999999997</v>
      </c>
      <c r="I23" s="7"/>
      <c r="J23" s="4"/>
      <c r="K23" s="4"/>
      <c r="L23" s="4"/>
      <c r="M23" s="8"/>
    </row>
    <row r="24" spans="2:13" ht="14.1" customHeight="1" x14ac:dyDescent="0.3">
      <c r="B24" s="447" t="s">
        <v>204</v>
      </c>
      <c r="C24" s="448"/>
      <c r="D24" s="449"/>
      <c r="E24" s="157" t="s">
        <v>590</v>
      </c>
      <c r="F24" s="175" t="s">
        <v>590</v>
      </c>
      <c r="G24" s="5" t="str">
        <f>+E24</f>
        <v>7-D13</v>
      </c>
      <c r="H24" s="158" t="str">
        <f>+F24</f>
        <v>7-D13</v>
      </c>
      <c r="I24" s="7"/>
      <c r="J24" s="4"/>
      <c r="K24" s="4"/>
      <c r="L24" s="4"/>
      <c r="M24" s="8"/>
    </row>
    <row r="25" spans="2:13" ht="14.1" customHeight="1" x14ac:dyDescent="0.3">
      <c r="B25" s="81" t="s">
        <v>576</v>
      </c>
      <c r="C25" s="5" t="s">
        <v>173</v>
      </c>
      <c r="D25" s="8" t="s">
        <v>565</v>
      </c>
      <c r="E25" s="6" t="e">
        <f ca="1">IF([2]!bar(E24, 1)*10&lt;16,[2]!BarFt(E24, 1, $E5)/10,[2]!BarFt(E24, 1, $E6)/10)</f>
        <v>#NAME?</v>
      </c>
      <c r="F25" s="158" t="e">
        <f ca="1">IF([2]!bar(F24, 1)*10&lt;16,[2]!BarFt(F24, 1, $E5)/10,[2]!BarFt(F24, 1, $E6)/10)</f>
        <v>#NAME?</v>
      </c>
      <c r="G25" s="5" t="e">
        <f ca="1">IF([2]!bar(G24, 1)*10&lt;16,[2]!BarFt(G24, 2, $E5)/10,[2]!BarFt(G24, 2, $E6)/10)</f>
        <v>#NAME?</v>
      </c>
      <c r="H25" s="6" t="e">
        <f ca="1">IF([2]!bar(H24, 1)*10&lt;16,[2]!BarFt(H24, 2, $E5)/10,[2]!BarFt(H24, 2, $E6)/10)</f>
        <v>#NAME?</v>
      </c>
      <c r="I25" s="7"/>
      <c r="J25" s="4"/>
      <c r="K25" s="4"/>
      <c r="L25" s="4"/>
      <c r="M25" s="8"/>
    </row>
    <row r="26" spans="2:13" ht="14.1" customHeight="1" x14ac:dyDescent="0.3">
      <c r="B26" s="81" t="s">
        <v>192</v>
      </c>
      <c r="C26" s="5" t="s">
        <v>175</v>
      </c>
      <c r="D26" s="8" t="s">
        <v>577</v>
      </c>
      <c r="E26" s="77" t="e">
        <f ca="1">[2]!bar(E24, 11)*100</f>
        <v>#NAME?</v>
      </c>
      <c r="F26" s="164" t="e">
        <f ca="1">[2]!bar(F24, 11)*100</f>
        <v>#NAME?</v>
      </c>
      <c r="G26" s="78" t="e">
        <f ca="1">[2]!bar(G24, 11)*100</f>
        <v>#NAME?</v>
      </c>
      <c r="H26" s="77" t="e">
        <f ca="1">[2]!bar(H24, 11)*100</f>
        <v>#NAME?</v>
      </c>
      <c r="I26" s="7"/>
      <c r="J26" s="4"/>
      <c r="K26" s="4"/>
      <c r="L26" s="4"/>
      <c r="M26" s="8"/>
    </row>
    <row r="27" spans="2:13" ht="14.1" customHeight="1" x14ac:dyDescent="0.3">
      <c r="B27" s="81" t="s">
        <v>193</v>
      </c>
      <c r="C27" s="5" t="s">
        <v>194</v>
      </c>
      <c r="D27" s="8" t="s">
        <v>565</v>
      </c>
      <c r="E27" s="176" t="e">
        <f ca="1">+E23*1000000/(E26*E16)</f>
        <v>#NAME?</v>
      </c>
      <c r="F27" s="177" t="e">
        <f ca="1">+F23*1000000/(F26*F16)</f>
        <v>#NAME?</v>
      </c>
      <c r="G27" s="151" t="e">
        <f ca="1">+G23*1000000/(G26*G16)</f>
        <v>#NAME?</v>
      </c>
      <c r="H27" s="177" t="e">
        <f ca="1">+H23*1000000/(H26*H16)</f>
        <v>#NAME?</v>
      </c>
      <c r="I27" s="7"/>
      <c r="J27" s="4"/>
      <c r="K27" s="4"/>
      <c r="L27" s="4"/>
      <c r="M27" s="8"/>
    </row>
    <row r="28" spans="2:13" ht="14.1" customHeight="1" x14ac:dyDescent="0.3">
      <c r="B28" s="447" t="s">
        <v>195</v>
      </c>
      <c r="C28" s="448"/>
      <c r="D28" s="449"/>
      <c r="E28" s="178" t="e">
        <f ca="1">E27/E25</f>
        <v>#NAME?</v>
      </c>
      <c r="F28" s="179" t="e">
        <f ca="1">F27/F25</f>
        <v>#NAME?</v>
      </c>
      <c r="G28" s="143" t="e">
        <f ca="1">G27/G25</f>
        <v>#NAME?</v>
      </c>
      <c r="H28" s="178" t="e">
        <f ca="1">H27/H25</f>
        <v>#NAME?</v>
      </c>
      <c r="I28" s="7"/>
      <c r="J28" s="4"/>
      <c r="K28" s="4"/>
      <c r="L28" s="4"/>
      <c r="M28" s="8"/>
    </row>
    <row r="29" spans="2:13" ht="14.1" customHeight="1" x14ac:dyDescent="0.3">
      <c r="B29" s="450" t="s">
        <v>257</v>
      </c>
      <c r="C29" s="451"/>
      <c r="D29" s="452"/>
      <c r="E29" s="180" t="e">
        <f ca="1">IF(E28&lt;1,"OK","NG")</f>
        <v>#NAME?</v>
      </c>
      <c r="F29" s="172" t="e">
        <f ca="1">IF(F28&lt;1,"OK","NG")</f>
        <v>#NAME?</v>
      </c>
      <c r="G29" s="181" t="e">
        <f ca="1">IF(G28&lt;1,"OK","NG")</f>
        <v>#NAME?</v>
      </c>
      <c r="H29" s="182" t="e">
        <f ca="1">IF(H28&lt;1,"OK","NG")</f>
        <v>#NAME?</v>
      </c>
      <c r="I29" s="7"/>
      <c r="J29" s="4"/>
      <c r="K29" s="4"/>
      <c r="L29" s="4"/>
      <c r="M29" s="8"/>
    </row>
    <row r="30" spans="2:13" ht="14.1" customHeight="1" x14ac:dyDescent="0.3">
      <c r="B30" s="1" t="s">
        <v>578</v>
      </c>
      <c r="C30" s="155" t="s">
        <v>579</v>
      </c>
      <c r="D30" s="156" t="s">
        <v>574</v>
      </c>
      <c r="E30" s="183" t="e">
        <f ca="1">E27*2/3</f>
        <v>#NAME?</v>
      </c>
      <c r="F30" s="183" t="e">
        <f ca="1">F27*2/3</f>
        <v>#NAME?</v>
      </c>
      <c r="G30" s="183" t="e">
        <f ca="1">G27*2/3</f>
        <v>#NAME?</v>
      </c>
      <c r="H30" s="183" t="e">
        <f ca="1">H27*2/3</f>
        <v>#NAME?</v>
      </c>
      <c r="I30" s="7"/>
      <c r="J30" s="4"/>
      <c r="K30" s="4"/>
      <c r="L30" s="4"/>
      <c r="M30" s="8"/>
    </row>
    <row r="31" spans="2:13" ht="14.1" customHeight="1" x14ac:dyDescent="0.3">
      <c r="B31" s="81"/>
      <c r="C31" s="5" t="s">
        <v>580</v>
      </c>
      <c r="D31" s="8"/>
      <c r="E31" s="176" t="e">
        <f ca="1">MIN((E13-80*2-[2]!bar(E24,12)*10/PI())/(([2]!bar(E24,2)-1)),80*3,[2]!bar(E24,1)*5*10)</f>
        <v>#NAME?</v>
      </c>
      <c r="F31" s="176" t="e">
        <f ca="1">MIN((F13-80*2-[2]!bar(F24,12)*10/PI())/(([2]!bar(F24,2)-1)),80*3,[2]!bar(F24,1)*5*10)</f>
        <v>#NAME?</v>
      </c>
      <c r="G31" s="176" t="e">
        <f ca="1">MIN((G13-80*2-[2]!bar(G24,12)*10/PI())/(([2]!bar(G24,2)-1)),80*3,[2]!bar(G24,1)*5*10)</f>
        <v>#NAME?</v>
      </c>
      <c r="H31" s="176" t="e">
        <f ca="1">MIN((H13-80*2-[2]!bar(H24,12)*10/PI())/(([2]!bar(H24,2)-1)),80*3,[2]!bar(H24,1)*5*10)</f>
        <v>#NAME?</v>
      </c>
      <c r="I31" s="7"/>
      <c r="J31" s="4"/>
      <c r="K31" s="4"/>
      <c r="L31" s="4"/>
      <c r="M31" s="8"/>
    </row>
    <row r="32" spans="2:13" ht="14.1" customHeight="1" x14ac:dyDescent="0.3">
      <c r="B32" s="6"/>
      <c r="C32" s="5" t="s">
        <v>581</v>
      </c>
      <c r="D32" s="8"/>
      <c r="E32" s="169" t="e">
        <f ca="1">0.3*E31/([2]!bar(E24,1)*10)+0.4</f>
        <v>#NAME?</v>
      </c>
      <c r="F32" s="170" t="e">
        <f ca="1">0.3*F31/([2]!bar(F24,1)*10)+0.4</f>
        <v>#NAME?</v>
      </c>
      <c r="G32" s="36" t="e">
        <f ca="1">0.3*G31/([2]!bar(G24,1)*10)+0.4</f>
        <v>#NAME?</v>
      </c>
      <c r="H32" s="170" t="e">
        <f ca="1">0.3*H31/([2]!bar(H24,1)*10)+0.4</f>
        <v>#NAME?</v>
      </c>
      <c r="I32" s="7"/>
      <c r="J32" s="4"/>
      <c r="K32" s="4"/>
      <c r="L32" s="4"/>
      <c r="M32" s="8"/>
    </row>
    <row r="33" spans="2:13" ht="14.1" customHeight="1" x14ac:dyDescent="0.3">
      <c r="B33" s="6" t="s">
        <v>582</v>
      </c>
      <c r="C33" s="5" t="s">
        <v>205</v>
      </c>
      <c r="D33" s="8"/>
      <c r="E33" s="178">
        <f>G4/60+0.6</f>
        <v>0.95</v>
      </c>
      <c r="F33" s="179">
        <f>G4/60+0.6</f>
        <v>0.95</v>
      </c>
      <c r="G33" s="143">
        <f>E33*1.5</f>
        <v>1.4249999999999998</v>
      </c>
      <c r="H33" s="179">
        <f>F33*1.5</f>
        <v>1.4249999999999998</v>
      </c>
      <c r="I33" s="7"/>
      <c r="J33" s="4"/>
      <c r="K33" s="4"/>
      <c r="L33" s="4"/>
      <c r="M33" s="8"/>
    </row>
    <row r="34" spans="2:13" ht="14.1" customHeight="1" x14ac:dyDescent="0.3">
      <c r="B34" s="7"/>
      <c r="C34" s="5" t="s">
        <v>206</v>
      </c>
      <c r="D34" s="8" t="s">
        <v>583</v>
      </c>
      <c r="E34" s="176" t="e">
        <f ca="1">[2]!bar(E24,1)*10/4</f>
        <v>#NAME?</v>
      </c>
      <c r="F34" s="177" t="e">
        <f ca="1">[2]!bar(F24,1)*10/4</f>
        <v>#NAME?</v>
      </c>
      <c r="G34" s="151" t="e">
        <f ca="1">[2]!bar(G24,1)*10/4</f>
        <v>#NAME?</v>
      </c>
      <c r="H34" s="177" t="e">
        <f ca="1">[2]!bar(H24,1)*10/4</f>
        <v>#NAME?</v>
      </c>
      <c r="I34" s="7"/>
      <c r="J34" s="4"/>
      <c r="K34" s="4"/>
      <c r="L34" s="4"/>
      <c r="M34" s="8"/>
    </row>
    <row r="35" spans="2:13" ht="14.1" customHeight="1" x14ac:dyDescent="0.3">
      <c r="B35" s="80" t="s">
        <v>584</v>
      </c>
      <c r="C35" s="56" t="s">
        <v>585</v>
      </c>
      <c r="D35" s="12" t="s">
        <v>586</v>
      </c>
      <c r="E35" s="184" t="e">
        <f ca="1">E30*E34/(E32*E33)</f>
        <v>#NAME?</v>
      </c>
      <c r="F35" s="185" t="e">
        <f ca="1">F30*F34/(F32*F33)</f>
        <v>#NAME?</v>
      </c>
      <c r="G35" s="186" t="e">
        <f ca="1">G30*G34/(G32*G33)</f>
        <v>#NAME?</v>
      </c>
      <c r="H35" s="185" t="e">
        <f ca="1">H30*H34/(H32*H33)</f>
        <v>#NAME?</v>
      </c>
      <c r="I35" s="10"/>
      <c r="J35" s="11"/>
      <c r="K35" s="11"/>
      <c r="L35" s="11"/>
      <c r="M35" s="12"/>
    </row>
    <row r="36" spans="2:13" ht="14.1" customHeight="1" x14ac:dyDescent="0.3">
      <c r="B36" s="5"/>
      <c r="C36" s="5"/>
    </row>
    <row r="37" spans="2:13" ht="14.1" customHeight="1" x14ac:dyDescent="0.3">
      <c r="B37" s="463" t="s">
        <v>559</v>
      </c>
      <c r="C37" s="464"/>
      <c r="D37" s="464"/>
      <c r="E37" s="470" t="s">
        <v>587</v>
      </c>
      <c r="F37" s="464"/>
      <c r="G37" s="464"/>
      <c r="H37" s="464"/>
      <c r="I37" s="14"/>
      <c r="J37" s="14"/>
      <c r="K37" s="14"/>
      <c r="L37" s="14"/>
      <c r="M37" s="15"/>
    </row>
    <row r="38" spans="2:13" ht="14.1" customHeight="1" x14ac:dyDescent="0.3">
      <c r="B38" s="81" t="s">
        <v>560</v>
      </c>
      <c r="C38" s="5" t="s">
        <v>177</v>
      </c>
      <c r="D38" s="8" t="s">
        <v>561</v>
      </c>
      <c r="E38" s="7"/>
      <c r="F38" s="87" t="s">
        <v>178</v>
      </c>
      <c r="G38" s="153">
        <v>21</v>
      </c>
      <c r="H38" s="8"/>
      <c r="I38" s="4"/>
      <c r="J38" s="4"/>
      <c r="K38" s="4"/>
      <c r="L38" s="4"/>
      <c r="M38" s="8"/>
    </row>
    <row r="39" spans="2:13" ht="14.1" customHeight="1" x14ac:dyDescent="0.3">
      <c r="B39" s="81" t="s">
        <v>562</v>
      </c>
      <c r="C39" s="5" t="s">
        <v>179</v>
      </c>
      <c r="D39" s="8"/>
      <c r="E39" s="447" t="s">
        <v>180</v>
      </c>
      <c r="F39" s="456"/>
      <c r="G39" s="456"/>
      <c r="H39" s="455"/>
      <c r="I39" s="4"/>
      <c r="J39" s="4"/>
      <c r="K39" s="5"/>
      <c r="L39" s="4"/>
      <c r="M39" s="8"/>
    </row>
    <row r="40" spans="2:13" ht="14.1" customHeight="1" x14ac:dyDescent="0.3">
      <c r="B40" s="79"/>
      <c r="C40" s="56" t="s">
        <v>563</v>
      </c>
      <c r="D40" s="12"/>
      <c r="E40" s="466" t="s">
        <v>181</v>
      </c>
      <c r="F40" s="461"/>
      <c r="G40" s="461"/>
      <c r="H40" s="462"/>
      <c r="I40" s="4"/>
      <c r="J40" s="4"/>
      <c r="K40" s="5"/>
      <c r="L40" s="4"/>
      <c r="M40" s="8"/>
    </row>
    <row r="41" spans="2:13" ht="14.1" customHeight="1" x14ac:dyDescent="0.3">
      <c r="B41" s="10"/>
      <c r="C41" s="56"/>
      <c r="D41" s="12"/>
      <c r="E41" s="447" t="s">
        <v>196</v>
      </c>
      <c r="F41" s="449"/>
      <c r="G41" s="456" t="s">
        <v>197</v>
      </c>
      <c r="H41" s="449"/>
      <c r="I41" s="7"/>
      <c r="J41" s="4"/>
      <c r="K41" s="4"/>
      <c r="L41" s="4"/>
      <c r="M41" s="8"/>
    </row>
    <row r="42" spans="2:13" ht="14.1" customHeight="1" x14ac:dyDescent="0.3">
      <c r="B42" s="154" t="s">
        <v>564</v>
      </c>
      <c r="C42" s="155" t="s">
        <v>172</v>
      </c>
      <c r="D42" s="156" t="s">
        <v>565</v>
      </c>
      <c r="E42" s="467">
        <f>G38/3</f>
        <v>7</v>
      </c>
      <c r="F42" s="468"/>
      <c r="G42" s="469">
        <f>E42*2</f>
        <v>14</v>
      </c>
      <c r="H42" s="468"/>
      <c r="I42" s="7"/>
      <c r="J42" s="4"/>
      <c r="K42" s="4"/>
      <c r="L42" s="4"/>
      <c r="M42" s="8"/>
    </row>
    <row r="43" spans="2:13" ht="14.1" customHeight="1" x14ac:dyDescent="0.3">
      <c r="B43" s="81" t="s">
        <v>566</v>
      </c>
      <c r="C43" s="5" t="s">
        <v>172</v>
      </c>
      <c r="D43" s="8" t="s">
        <v>565</v>
      </c>
      <c r="E43" s="447">
        <f>G38/30</f>
        <v>0.7</v>
      </c>
      <c r="F43" s="455"/>
      <c r="G43" s="456">
        <f>E43*1.5</f>
        <v>1.0499999999999998</v>
      </c>
      <c r="H43" s="455"/>
      <c r="I43" s="7"/>
      <c r="J43" s="4"/>
      <c r="K43" s="4"/>
      <c r="L43" s="4"/>
      <c r="M43" s="8"/>
    </row>
    <row r="44" spans="2:13" ht="14.1" customHeight="1" x14ac:dyDescent="0.3">
      <c r="B44" s="81" t="s">
        <v>567</v>
      </c>
      <c r="C44" s="5" t="s">
        <v>568</v>
      </c>
      <c r="D44" s="8" t="s">
        <v>168</v>
      </c>
      <c r="E44" s="457">
        <v>2056</v>
      </c>
      <c r="F44" s="458"/>
      <c r="G44" s="459">
        <v>2516</v>
      </c>
      <c r="H44" s="460"/>
      <c r="I44" s="7"/>
      <c r="J44" s="4"/>
      <c r="K44" s="4"/>
      <c r="L44" s="4"/>
      <c r="M44" s="8"/>
    </row>
    <row r="45" spans="2:13" ht="14.1" customHeight="1" x14ac:dyDescent="0.3">
      <c r="B45" s="79" t="s">
        <v>569</v>
      </c>
      <c r="C45" s="56" t="s">
        <v>570</v>
      </c>
      <c r="D45" s="12"/>
      <c r="E45" s="453">
        <v>1</v>
      </c>
      <c r="F45" s="454"/>
      <c r="G45" s="461">
        <f>E45</f>
        <v>1</v>
      </c>
      <c r="H45" s="462"/>
      <c r="I45" s="7"/>
      <c r="J45" s="4"/>
      <c r="K45" s="4"/>
      <c r="L45" s="4"/>
      <c r="M45" s="8"/>
    </row>
    <row r="46" spans="2:13" ht="14.1" customHeight="1" x14ac:dyDescent="0.3">
      <c r="B46" s="463" t="s">
        <v>170</v>
      </c>
      <c r="C46" s="464"/>
      <c r="D46" s="465"/>
      <c r="E46" s="6" t="s">
        <v>571</v>
      </c>
      <c r="F46" s="158" t="s">
        <v>572</v>
      </c>
      <c r="G46" s="5" t="s">
        <v>571</v>
      </c>
      <c r="H46" s="158" t="s">
        <v>572</v>
      </c>
      <c r="I46" s="7"/>
      <c r="J46" s="4"/>
      <c r="K46" s="4"/>
      <c r="L46" s="4"/>
      <c r="M46" s="8"/>
    </row>
    <row r="47" spans="2:13" ht="14.1" customHeight="1" x14ac:dyDescent="0.3">
      <c r="B47" s="154" t="s">
        <v>573</v>
      </c>
      <c r="C47" s="155" t="s">
        <v>182</v>
      </c>
      <c r="D47" s="156" t="s">
        <v>183</v>
      </c>
      <c r="E47" s="159">
        <v>1300</v>
      </c>
      <c r="F47" s="160">
        <v>1300</v>
      </c>
      <c r="G47" s="161">
        <f>E47</f>
        <v>1300</v>
      </c>
      <c r="H47" s="162">
        <f>F47</f>
        <v>1300</v>
      </c>
      <c r="I47" s="7"/>
      <c r="J47" s="4"/>
      <c r="K47" s="4"/>
      <c r="L47" s="4"/>
      <c r="M47" s="8"/>
    </row>
    <row r="48" spans="2:13" ht="14.1" customHeight="1" x14ac:dyDescent="0.3">
      <c r="B48" s="81" t="s">
        <v>202</v>
      </c>
      <c r="C48" s="5" t="s">
        <v>184</v>
      </c>
      <c r="D48" s="8" t="s">
        <v>183</v>
      </c>
      <c r="E48" s="163">
        <v>900</v>
      </c>
      <c r="F48" s="78">
        <f>E48</f>
        <v>900</v>
      </c>
      <c r="G48" s="164">
        <f>F48</f>
        <v>900</v>
      </c>
      <c r="H48" s="165">
        <f>G48</f>
        <v>900</v>
      </c>
      <c r="I48" s="7"/>
      <c r="J48" s="4"/>
      <c r="K48" s="4"/>
      <c r="L48" s="4"/>
      <c r="M48" s="8"/>
    </row>
    <row r="49" spans="2:13" ht="14.1" customHeight="1" x14ac:dyDescent="0.3">
      <c r="B49" s="7"/>
      <c r="C49" s="5" t="s">
        <v>185</v>
      </c>
      <c r="D49" s="8" t="s">
        <v>183</v>
      </c>
      <c r="E49" s="164">
        <f>E48-180</f>
        <v>720</v>
      </c>
      <c r="F49" s="78">
        <f>F48-180</f>
        <v>720</v>
      </c>
      <c r="G49" s="164">
        <f>G48-180</f>
        <v>720</v>
      </c>
      <c r="H49" s="165">
        <f>H48-180</f>
        <v>720</v>
      </c>
      <c r="I49" s="7"/>
      <c r="J49" s="4"/>
      <c r="K49" s="4"/>
      <c r="L49" s="4"/>
      <c r="M49" s="8"/>
    </row>
    <row r="50" spans="2:13" ht="14.1" customHeight="1" x14ac:dyDescent="0.3">
      <c r="B50" s="7"/>
      <c r="C50" s="5" t="s">
        <v>186</v>
      </c>
      <c r="D50" s="8" t="s">
        <v>183</v>
      </c>
      <c r="E50" s="164">
        <f>E49*7/8</f>
        <v>630</v>
      </c>
      <c r="F50" s="78">
        <f>F49*7/8</f>
        <v>630</v>
      </c>
      <c r="G50" s="164">
        <f>G49*7/8</f>
        <v>630</v>
      </c>
      <c r="H50" s="165">
        <f>H49*7/8</f>
        <v>630</v>
      </c>
      <c r="I50" s="7"/>
      <c r="J50" s="4"/>
      <c r="K50" s="4"/>
      <c r="L50" s="4"/>
      <c r="M50" s="8"/>
    </row>
    <row r="51" spans="2:13" ht="14.1" customHeight="1" x14ac:dyDescent="0.3">
      <c r="B51" s="79" t="s">
        <v>187</v>
      </c>
      <c r="C51" s="56" t="s">
        <v>188</v>
      </c>
      <c r="D51" s="12"/>
      <c r="E51" s="166">
        <v>0.2</v>
      </c>
      <c r="F51" s="167">
        <v>0.2</v>
      </c>
      <c r="G51" s="168">
        <f>E51</f>
        <v>0.2</v>
      </c>
      <c r="H51" s="147">
        <f>F51</f>
        <v>0.2</v>
      </c>
      <c r="I51" s="7"/>
      <c r="J51" s="4"/>
      <c r="K51" s="4"/>
      <c r="L51" s="4"/>
      <c r="M51" s="8"/>
    </row>
    <row r="52" spans="2:13" ht="14.1" customHeight="1" x14ac:dyDescent="0.3">
      <c r="B52" s="81" t="s">
        <v>189</v>
      </c>
      <c r="C52" s="5" t="s">
        <v>174</v>
      </c>
      <c r="D52" s="8" t="s">
        <v>171</v>
      </c>
      <c r="E52" s="77">
        <f>E44/E45*E51</f>
        <v>411.20000000000005</v>
      </c>
      <c r="F52" s="164">
        <f>E44/E45*F51</f>
        <v>411.20000000000005</v>
      </c>
      <c r="G52" s="78">
        <f>G44/G45*G51</f>
        <v>503.20000000000005</v>
      </c>
      <c r="H52" s="164">
        <f>G44/G45*H51</f>
        <v>503.20000000000005</v>
      </c>
      <c r="I52" s="7"/>
      <c r="J52" s="4"/>
      <c r="K52" s="4"/>
      <c r="L52" s="4"/>
      <c r="M52" s="8"/>
    </row>
    <row r="53" spans="2:13" ht="14.1" customHeight="1" x14ac:dyDescent="0.3">
      <c r="B53" s="81" t="s">
        <v>198</v>
      </c>
      <c r="C53" s="5" t="s">
        <v>176</v>
      </c>
      <c r="D53" s="8" t="s">
        <v>574</v>
      </c>
      <c r="E53" s="169">
        <f>E52*1000/(F47*E50)</f>
        <v>0.50207570207570218</v>
      </c>
      <c r="F53" s="170">
        <f>F52*1000/(E47*F50)</f>
        <v>0.50207570207570218</v>
      </c>
      <c r="G53" s="169">
        <f>G52*1000/(H47*G50)</f>
        <v>0.61440781440781445</v>
      </c>
      <c r="H53" s="170">
        <f>H52*1000/(G47*H50)</f>
        <v>0.61440781440781445</v>
      </c>
      <c r="I53" s="7"/>
      <c r="J53" s="4"/>
      <c r="K53" s="4"/>
      <c r="L53" s="4"/>
      <c r="M53" s="8"/>
    </row>
    <row r="54" spans="2:13" ht="14.1" customHeight="1" x14ac:dyDescent="0.3">
      <c r="B54" s="447" t="s">
        <v>199</v>
      </c>
      <c r="C54" s="456"/>
      <c r="D54" s="455"/>
      <c r="E54" s="169">
        <f>+E53/E43</f>
        <v>0.71725100296528888</v>
      </c>
      <c r="F54" s="170">
        <f>F53/E43</f>
        <v>0.71725100296528888</v>
      </c>
      <c r="G54" s="36">
        <f>+G53/G43</f>
        <v>0.58515029943601382</v>
      </c>
      <c r="H54" s="170">
        <f>+H53/G43</f>
        <v>0.58515029943601382</v>
      </c>
      <c r="I54" s="7"/>
      <c r="J54" s="4"/>
      <c r="K54" s="4"/>
      <c r="L54" s="4"/>
      <c r="M54" s="8"/>
    </row>
    <row r="55" spans="2:13" ht="14.1" customHeight="1" x14ac:dyDescent="0.3">
      <c r="B55" s="466" t="s">
        <v>257</v>
      </c>
      <c r="C55" s="461"/>
      <c r="D55" s="462"/>
      <c r="E55" s="171" t="str">
        <f>IF(E54&lt;1,"OK","NG")</f>
        <v>OK</v>
      </c>
      <c r="F55" s="172" t="str">
        <f>IF(F54&lt;1,"OK","NG")</f>
        <v>OK</v>
      </c>
      <c r="G55" s="173" t="str">
        <f>IF(G54&lt;1,"OK","NG")</f>
        <v>OK</v>
      </c>
      <c r="H55" s="172" t="str">
        <f>IF(H54&lt;1,"OK","NG")</f>
        <v>OK</v>
      </c>
      <c r="I55" s="7"/>
      <c r="J55" s="4"/>
      <c r="K55" s="4"/>
      <c r="L55" s="4"/>
      <c r="M55" s="8"/>
    </row>
    <row r="56" spans="2:13" ht="14.1" customHeight="1" x14ac:dyDescent="0.3">
      <c r="B56" s="81" t="s">
        <v>575</v>
      </c>
      <c r="C56" s="5" t="s">
        <v>190</v>
      </c>
      <c r="D56" s="8" t="s">
        <v>183</v>
      </c>
      <c r="E56" s="174">
        <v>100</v>
      </c>
      <c r="F56" s="159">
        <v>100</v>
      </c>
      <c r="G56" s="78">
        <f>E56</f>
        <v>100</v>
      </c>
      <c r="H56" s="164">
        <f>F56</f>
        <v>100</v>
      </c>
      <c r="I56" s="7"/>
      <c r="J56" s="4"/>
      <c r="K56" s="4"/>
      <c r="L56" s="4"/>
      <c r="M56" s="8"/>
    </row>
    <row r="57" spans="2:13" ht="14.1" customHeight="1" x14ac:dyDescent="0.3">
      <c r="B57" s="81" t="s">
        <v>203</v>
      </c>
      <c r="C57" s="5" t="s">
        <v>191</v>
      </c>
      <c r="D57" s="8" t="s">
        <v>200</v>
      </c>
      <c r="E57" s="77">
        <f>E52*E56/1000</f>
        <v>41.120000000000005</v>
      </c>
      <c r="F57" s="164">
        <f>F56*F52/1000</f>
        <v>41.120000000000005</v>
      </c>
      <c r="G57" s="78">
        <f>G52*G56/1000</f>
        <v>50.320000000000007</v>
      </c>
      <c r="H57" s="77">
        <f>H52*H56/1000</f>
        <v>50.320000000000007</v>
      </c>
      <c r="I57" s="7"/>
      <c r="J57" s="4"/>
      <c r="K57" s="4"/>
      <c r="L57" s="4"/>
      <c r="M57" s="8"/>
    </row>
    <row r="58" spans="2:13" ht="14.1" customHeight="1" x14ac:dyDescent="0.3">
      <c r="B58" s="447" t="s">
        <v>204</v>
      </c>
      <c r="C58" s="448"/>
      <c r="D58" s="449"/>
      <c r="E58" s="157" t="s">
        <v>588</v>
      </c>
      <c r="F58" s="175" t="s">
        <v>590</v>
      </c>
      <c r="G58" s="5" t="str">
        <f>+E58</f>
        <v>7-D13</v>
      </c>
      <c r="H58" s="158" t="str">
        <f>+F58</f>
        <v>7-D13</v>
      </c>
      <c r="I58" s="7"/>
      <c r="J58" s="4"/>
      <c r="K58" s="4"/>
      <c r="L58" s="4"/>
      <c r="M58" s="8"/>
    </row>
    <row r="59" spans="2:13" ht="14.1" customHeight="1" x14ac:dyDescent="0.3">
      <c r="B59" s="81" t="s">
        <v>576</v>
      </c>
      <c r="C59" s="5" t="s">
        <v>173</v>
      </c>
      <c r="D59" s="8" t="s">
        <v>565</v>
      </c>
      <c r="E59" s="6" t="e">
        <f ca="1">IF([2]!bar(E58, 1)*10&lt;16,[2]!BarFt(E58, 1, $E39)/10,[2]!BarFt(E58, 1, $E40)/10)</f>
        <v>#NAME?</v>
      </c>
      <c r="F59" s="158" t="e">
        <f ca="1">IF([2]!bar(F58, 1)*10&lt;16,[2]!BarFt(F58, 1, $E39)/10,[2]!BarFt(F58, 1, $E40)/10)</f>
        <v>#NAME?</v>
      </c>
      <c r="G59" s="5" t="e">
        <f ca="1">IF([2]!bar(G58, 1)*10&lt;16,[2]!BarFt(G58, 2, $E39)/10,[2]!BarFt(G58, 2, $E40)/10)</f>
        <v>#NAME?</v>
      </c>
      <c r="H59" s="6" t="e">
        <f ca="1">IF([2]!bar(H58, 1)*10&lt;16,[2]!BarFt(H58, 2, $E39)/10,[2]!BarFt(H58, 2, $E40)/10)</f>
        <v>#NAME?</v>
      </c>
      <c r="I59" s="7"/>
      <c r="J59" s="4"/>
      <c r="K59" s="4"/>
      <c r="L59" s="4"/>
      <c r="M59" s="8"/>
    </row>
    <row r="60" spans="2:13" ht="14.1" customHeight="1" x14ac:dyDescent="0.3">
      <c r="B60" s="81" t="s">
        <v>192</v>
      </c>
      <c r="C60" s="5" t="s">
        <v>175</v>
      </c>
      <c r="D60" s="8" t="s">
        <v>577</v>
      </c>
      <c r="E60" s="77" t="e">
        <f ca="1">[2]!bar(E58, 11)*100</f>
        <v>#NAME?</v>
      </c>
      <c r="F60" s="164" t="e">
        <f ca="1">[2]!bar(F58, 11)*100</f>
        <v>#NAME?</v>
      </c>
      <c r="G60" s="78" t="e">
        <f ca="1">[2]!bar(G58, 11)*100</f>
        <v>#NAME?</v>
      </c>
      <c r="H60" s="77" t="e">
        <f ca="1">[2]!bar(H58, 11)*100</f>
        <v>#NAME?</v>
      </c>
      <c r="I60" s="7"/>
      <c r="J60" s="4"/>
      <c r="K60" s="4"/>
      <c r="L60" s="4"/>
      <c r="M60" s="8"/>
    </row>
    <row r="61" spans="2:13" ht="14.1" customHeight="1" x14ac:dyDescent="0.3">
      <c r="B61" s="81" t="s">
        <v>193</v>
      </c>
      <c r="C61" s="5" t="s">
        <v>194</v>
      </c>
      <c r="D61" s="8" t="s">
        <v>565</v>
      </c>
      <c r="E61" s="176" t="e">
        <f ca="1">+E57*1000000/(E60*E50)</f>
        <v>#NAME?</v>
      </c>
      <c r="F61" s="177" t="e">
        <f ca="1">+F57*1000000/(F60*F50)</f>
        <v>#NAME?</v>
      </c>
      <c r="G61" s="151" t="e">
        <f ca="1">+G57*1000000/(G60*G50)</f>
        <v>#NAME?</v>
      </c>
      <c r="H61" s="177" t="e">
        <f ca="1">+H57*1000000/(H60*H50)</f>
        <v>#NAME?</v>
      </c>
      <c r="I61" s="7"/>
      <c r="J61" s="4"/>
      <c r="K61" s="4"/>
      <c r="L61" s="4"/>
      <c r="M61" s="8"/>
    </row>
    <row r="62" spans="2:13" ht="14.1" customHeight="1" x14ac:dyDescent="0.3">
      <c r="B62" s="447" t="s">
        <v>195</v>
      </c>
      <c r="C62" s="448"/>
      <c r="D62" s="449"/>
      <c r="E62" s="178" t="e">
        <f ca="1">E61/E59</f>
        <v>#NAME?</v>
      </c>
      <c r="F62" s="179" t="e">
        <f ca="1">F61/F59</f>
        <v>#NAME?</v>
      </c>
      <c r="G62" s="143" t="e">
        <f ca="1">G61/G59</f>
        <v>#NAME?</v>
      </c>
      <c r="H62" s="178" t="e">
        <f ca="1">H61/H59</f>
        <v>#NAME?</v>
      </c>
      <c r="I62" s="7"/>
      <c r="J62" s="4"/>
      <c r="K62" s="4"/>
      <c r="L62" s="4"/>
      <c r="M62" s="8"/>
    </row>
    <row r="63" spans="2:13" ht="14.1" customHeight="1" x14ac:dyDescent="0.3">
      <c r="B63" s="450" t="s">
        <v>257</v>
      </c>
      <c r="C63" s="451"/>
      <c r="D63" s="452"/>
      <c r="E63" s="180" t="e">
        <f ca="1">IF(E62&lt;1,"OK","NG")</f>
        <v>#NAME?</v>
      </c>
      <c r="F63" s="172" t="e">
        <f ca="1">IF(F62&lt;1,"OK","NG")</f>
        <v>#NAME?</v>
      </c>
      <c r="G63" s="181" t="e">
        <f ca="1">IF(G62&lt;1,"OK","NG")</f>
        <v>#NAME?</v>
      </c>
      <c r="H63" s="182" t="e">
        <f ca="1">IF(H62&lt;1,"OK","NG")</f>
        <v>#NAME?</v>
      </c>
      <c r="I63" s="7"/>
      <c r="J63" s="4"/>
      <c r="K63" s="4"/>
      <c r="L63" s="4"/>
      <c r="M63" s="8"/>
    </row>
    <row r="64" spans="2:13" ht="14.1" customHeight="1" x14ac:dyDescent="0.3">
      <c r="B64" s="1" t="s">
        <v>578</v>
      </c>
      <c r="C64" s="155" t="s">
        <v>579</v>
      </c>
      <c r="D64" s="156" t="s">
        <v>574</v>
      </c>
      <c r="E64" s="183" t="e">
        <f ca="1">E61*2/3</f>
        <v>#NAME?</v>
      </c>
      <c r="F64" s="183" t="e">
        <f ca="1">F61*2/3</f>
        <v>#NAME?</v>
      </c>
      <c r="G64" s="183" t="e">
        <f ca="1">G61*2/3</f>
        <v>#NAME?</v>
      </c>
      <c r="H64" s="183" t="e">
        <f ca="1">H61*2/3</f>
        <v>#NAME?</v>
      </c>
      <c r="I64" s="7"/>
      <c r="J64" s="4"/>
      <c r="K64" s="4"/>
      <c r="L64" s="4"/>
      <c r="M64" s="8"/>
    </row>
    <row r="65" spans="2:13" ht="14.1" customHeight="1" x14ac:dyDescent="0.3">
      <c r="B65" s="81"/>
      <c r="C65" s="5" t="s">
        <v>580</v>
      </c>
      <c r="D65" s="8"/>
      <c r="E65" s="176" t="e">
        <f ca="1">MIN((E47-80*2-[2]!bar(E58,12)*10/PI())/(([2]!bar(E58,2)-1)),80*3,[2]!bar(E58,1)*5*10)</f>
        <v>#NAME?</v>
      </c>
      <c r="F65" s="176" t="e">
        <f ca="1">MIN((F47-80*2-[2]!bar(F58,12)*10/PI())/(([2]!bar(F58,2)-1)),80*3,[2]!bar(F58,1)*5*10)</f>
        <v>#NAME?</v>
      </c>
      <c r="G65" s="176" t="e">
        <f ca="1">MIN((G47-80*2-[2]!bar(G58,12)*10/PI())/(([2]!bar(G58,2)-1)),80*3,[2]!bar(G58,1)*5*10)</f>
        <v>#NAME?</v>
      </c>
      <c r="H65" s="176" t="e">
        <f ca="1">MIN((H47-80*2-[2]!bar(H58,12)*10/PI())/(([2]!bar(H58,2)-1)),80*3,[2]!bar(H58,1)*5*10)</f>
        <v>#NAME?</v>
      </c>
      <c r="I65" s="7"/>
      <c r="J65" s="4"/>
      <c r="K65" s="4"/>
      <c r="L65" s="4"/>
      <c r="M65" s="8"/>
    </row>
    <row r="66" spans="2:13" ht="14.1" customHeight="1" x14ac:dyDescent="0.3">
      <c r="B66" s="6"/>
      <c r="C66" s="5" t="s">
        <v>581</v>
      </c>
      <c r="D66" s="8"/>
      <c r="E66" s="169" t="e">
        <f ca="1">0.3*E65/([2]!bar(E58,1)*10)+0.4</f>
        <v>#NAME?</v>
      </c>
      <c r="F66" s="170" t="e">
        <f ca="1">0.3*F65/([2]!bar(F58,1)*10)+0.4</f>
        <v>#NAME?</v>
      </c>
      <c r="G66" s="36" t="e">
        <f ca="1">0.3*G65/([2]!bar(G58,1)*10)+0.4</f>
        <v>#NAME?</v>
      </c>
      <c r="H66" s="170" t="e">
        <f ca="1">0.3*H65/([2]!bar(H58,1)*10)+0.4</f>
        <v>#NAME?</v>
      </c>
      <c r="I66" s="7"/>
      <c r="J66" s="4"/>
      <c r="K66" s="4"/>
      <c r="L66" s="4"/>
      <c r="M66" s="8"/>
    </row>
    <row r="67" spans="2:13" ht="14.1" customHeight="1" x14ac:dyDescent="0.3">
      <c r="B67" s="6" t="s">
        <v>582</v>
      </c>
      <c r="C67" s="5" t="s">
        <v>205</v>
      </c>
      <c r="D67" s="8"/>
      <c r="E67" s="178">
        <f>G38/60+0.6</f>
        <v>0.95</v>
      </c>
      <c r="F67" s="179">
        <f>G38/60+0.6</f>
        <v>0.95</v>
      </c>
      <c r="G67" s="143">
        <f>E67*1.5</f>
        <v>1.4249999999999998</v>
      </c>
      <c r="H67" s="179">
        <f>F67*1.5</f>
        <v>1.4249999999999998</v>
      </c>
      <c r="I67" s="7"/>
      <c r="J67" s="4"/>
      <c r="K67" s="4"/>
      <c r="L67" s="4"/>
      <c r="M67" s="8"/>
    </row>
    <row r="68" spans="2:13" ht="14.1" customHeight="1" x14ac:dyDescent="0.3">
      <c r="B68" s="7"/>
      <c r="C68" s="5" t="s">
        <v>206</v>
      </c>
      <c r="D68" s="8" t="s">
        <v>583</v>
      </c>
      <c r="E68" s="176" t="e">
        <f ca="1">[2]!bar(E58,1)*10/4</f>
        <v>#NAME?</v>
      </c>
      <c r="F68" s="177" t="e">
        <f ca="1">[2]!bar(F58,1)*10/4</f>
        <v>#NAME?</v>
      </c>
      <c r="G68" s="151" t="e">
        <f ca="1">[2]!bar(G58,1)*10/4</f>
        <v>#NAME?</v>
      </c>
      <c r="H68" s="177" t="e">
        <f ca="1">[2]!bar(H58,1)*10/4</f>
        <v>#NAME?</v>
      </c>
      <c r="I68" s="7"/>
      <c r="J68" s="4"/>
      <c r="K68" s="4"/>
      <c r="L68" s="4"/>
      <c r="M68" s="8"/>
    </row>
    <row r="69" spans="2:13" ht="14.1" customHeight="1" x14ac:dyDescent="0.3">
      <c r="B69" s="80" t="s">
        <v>584</v>
      </c>
      <c r="C69" s="56" t="s">
        <v>585</v>
      </c>
      <c r="D69" s="12" t="s">
        <v>586</v>
      </c>
      <c r="E69" s="184" t="e">
        <f ca="1">E64*E68/(E66*E67)</f>
        <v>#NAME?</v>
      </c>
      <c r="F69" s="185" t="e">
        <f ca="1">F64*F68/(F66*F67)</f>
        <v>#NAME?</v>
      </c>
      <c r="G69" s="186" t="e">
        <f ca="1">G64*G68/(G66*G67)</f>
        <v>#NAME?</v>
      </c>
      <c r="H69" s="185" t="e">
        <f ca="1">H64*H68/(H66*H67)</f>
        <v>#NAME?</v>
      </c>
      <c r="I69" s="10"/>
      <c r="J69" s="11"/>
      <c r="K69" s="11"/>
      <c r="L69" s="11"/>
      <c r="M69" s="12"/>
    </row>
    <row r="72" spans="2:13" ht="14.1" customHeight="1" x14ac:dyDescent="0.3">
      <c r="B72" s="463" t="s">
        <v>559</v>
      </c>
      <c r="C72" s="464"/>
      <c r="D72" s="464"/>
      <c r="E72" s="470" t="s">
        <v>589</v>
      </c>
      <c r="F72" s="464"/>
      <c r="G72" s="464"/>
      <c r="H72" s="464"/>
      <c r="I72" s="14"/>
      <c r="J72" s="14"/>
      <c r="K72" s="14"/>
      <c r="L72" s="14"/>
      <c r="M72" s="15"/>
    </row>
    <row r="73" spans="2:13" ht="14.1" customHeight="1" x14ac:dyDescent="0.3">
      <c r="B73" s="81" t="s">
        <v>560</v>
      </c>
      <c r="C73" s="5" t="s">
        <v>177</v>
      </c>
      <c r="D73" s="8" t="s">
        <v>561</v>
      </c>
      <c r="E73" s="7"/>
      <c r="F73" s="87" t="s">
        <v>178</v>
      </c>
      <c r="G73" s="153">
        <v>21</v>
      </c>
      <c r="H73" s="8"/>
      <c r="I73" s="4"/>
      <c r="J73" s="4"/>
      <c r="K73" s="4"/>
      <c r="L73" s="4"/>
      <c r="M73" s="8"/>
    </row>
    <row r="74" spans="2:13" ht="14.1" customHeight="1" x14ac:dyDescent="0.3">
      <c r="B74" s="81" t="s">
        <v>562</v>
      </c>
      <c r="C74" s="5" t="s">
        <v>179</v>
      </c>
      <c r="D74" s="8"/>
      <c r="E74" s="447" t="s">
        <v>180</v>
      </c>
      <c r="F74" s="456"/>
      <c r="G74" s="456"/>
      <c r="H74" s="455"/>
      <c r="I74" s="4"/>
      <c r="J74" s="4"/>
      <c r="K74" s="5"/>
      <c r="L74" s="4"/>
      <c r="M74" s="8"/>
    </row>
    <row r="75" spans="2:13" ht="14.1" customHeight="1" x14ac:dyDescent="0.3">
      <c r="B75" s="79"/>
      <c r="C75" s="56" t="s">
        <v>563</v>
      </c>
      <c r="D75" s="12"/>
      <c r="E75" s="466" t="s">
        <v>181</v>
      </c>
      <c r="F75" s="461"/>
      <c r="G75" s="461"/>
      <c r="H75" s="462"/>
      <c r="I75" s="4"/>
      <c r="J75" s="4"/>
      <c r="K75" s="5"/>
      <c r="L75" s="4"/>
      <c r="M75" s="8"/>
    </row>
    <row r="76" spans="2:13" ht="14.1" customHeight="1" x14ac:dyDescent="0.3">
      <c r="B76" s="10"/>
      <c r="C76" s="56"/>
      <c r="D76" s="12"/>
      <c r="E76" s="447" t="s">
        <v>196</v>
      </c>
      <c r="F76" s="449"/>
      <c r="G76" s="456" t="s">
        <v>197</v>
      </c>
      <c r="H76" s="449"/>
      <c r="I76" s="7"/>
      <c r="J76" s="4"/>
      <c r="K76" s="4"/>
      <c r="L76" s="4"/>
      <c r="M76" s="8"/>
    </row>
    <row r="77" spans="2:13" ht="14.1" customHeight="1" x14ac:dyDescent="0.3">
      <c r="B77" s="154" t="s">
        <v>564</v>
      </c>
      <c r="C77" s="155" t="s">
        <v>172</v>
      </c>
      <c r="D77" s="156" t="s">
        <v>565</v>
      </c>
      <c r="E77" s="467">
        <f>G73/3</f>
        <v>7</v>
      </c>
      <c r="F77" s="468"/>
      <c r="G77" s="469">
        <f>E77*2</f>
        <v>14</v>
      </c>
      <c r="H77" s="468"/>
      <c r="I77" s="7"/>
      <c r="J77" s="4"/>
      <c r="K77" s="4"/>
      <c r="L77" s="4"/>
      <c r="M77" s="8"/>
    </row>
    <row r="78" spans="2:13" ht="14.1" customHeight="1" x14ac:dyDescent="0.3">
      <c r="B78" s="81" t="s">
        <v>566</v>
      </c>
      <c r="C78" s="5" t="s">
        <v>172</v>
      </c>
      <c r="D78" s="8" t="s">
        <v>565</v>
      </c>
      <c r="E78" s="447">
        <f>G73/30</f>
        <v>0.7</v>
      </c>
      <c r="F78" s="455"/>
      <c r="G78" s="456">
        <f>E78*1.5</f>
        <v>1.0499999999999998</v>
      </c>
      <c r="H78" s="455"/>
      <c r="I78" s="7"/>
      <c r="J78" s="4"/>
      <c r="K78" s="4"/>
      <c r="L78" s="4"/>
      <c r="M78" s="8"/>
    </row>
    <row r="79" spans="2:13" ht="14.1" customHeight="1" x14ac:dyDescent="0.3">
      <c r="B79" s="81" t="s">
        <v>567</v>
      </c>
      <c r="C79" s="5" t="s">
        <v>568</v>
      </c>
      <c r="D79" s="8" t="s">
        <v>168</v>
      </c>
      <c r="E79" s="457">
        <v>2508</v>
      </c>
      <c r="F79" s="458"/>
      <c r="G79" s="459">
        <v>2886</v>
      </c>
      <c r="H79" s="460"/>
      <c r="I79" s="7"/>
      <c r="J79" s="4"/>
      <c r="K79" s="4"/>
      <c r="L79" s="4"/>
      <c r="M79" s="8"/>
    </row>
    <row r="80" spans="2:13" ht="14.1" customHeight="1" x14ac:dyDescent="0.3">
      <c r="B80" s="79" t="s">
        <v>569</v>
      </c>
      <c r="C80" s="56" t="s">
        <v>570</v>
      </c>
      <c r="D80" s="12"/>
      <c r="E80" s="453">
        <v>1</v>
      </c>
      <c r="F80" s="454"/>
      <c r="G80" s="461">
        <f>E80</f>
        <v>1</v>
      </c>
      <c r="H80" s="462"/>
      <c r="I80" s="7"/>
      <c r="J80" s="4"/>
      <c r="K80" s="4"/>
      <c r="L80" s="4"/>
      <c r="M80" s="8"/>
    </row>
    <row r="81" spans="2:13" ht="14.1" customHeight="1" x14ac:dyDescent="0.3">
      <c r="B81" s="463" t="s">
        <v>170</v>
      </c>
      <c r="C81" s="464"/>
      <c r="D81" s="465"/>
      <c r="E81" s="6" t="s">
        <v>571</v>
      </c>
      <c r="F81" s="158" t="s">
        <v>572</v>
      </c>
      <c r="G81" s="5" t="s">
        <v>571</v>
      </c>
      <c r="H81" s="158" t="s">
        <v>572</v>
      </c>
      <c r="I81" s="7"/>
      <c r="J81" s="4"/>
      <c r="K81" s="4"/>
      <c r="L81" s="4"/>
      <c r="M81" s="8"/>
    </row>
    <row r="82" spans="2:13" ht="14.1" customHeight="1" x14ac:dyDescent="0.3">
      <c r="B82" s="154" t="s">
        <v>573</v>
      </c>
      <c r="C82" s="155" t="s">
        <v>182</v>
      </c>
      <c r="D82" s="156" t="s">
        <v>183</v>
      </c>
      <c r="E82" s="159">
        <v>1500</v>
      </c>
      <c r="F82" s="160">
        <v>1500</v>
      </c>
      <c r="G82" s="161">
        <f>E82</f>
        <v>1500</v>
      </c>
      <c r="H82" s="162">
        <f>F82</f>
        <v>1500</v>
      </c>
      <c r="I82" s="7"/>
      <c r="J82" s="4"/>
      <c r="K82" s="4"/>
      <c r="L82" s="4"/>
      <c r="M82" s="8"/>
    </row>
    <row r="83" spans="2:13" ht="14.1" customHeight="1" x14ac:dyDescent="0.3">
      <c r="B83" s="81" t="s">
        <v>202</v>
      </c>
      <c r="C83" s="5" t="s">
        <v>184</v>
      </c>
      <c r="D83" s="8" t="s">
        <v>183</v>
      </c>
      <c r="E83" s="163">
        <v>900</v>
      </c>
      <c r="F83" s="78">
        <f>E83</f>
        <v>900</v>
      </c>
      <c r="G83" s="164">
        <f>F83</f>
        <v>900</v>
      </c>
      <c r="H83" s="165">
        <f>G83</f>
        <v>900</v>
      </c>
      <c r="I83" s="7"/>
      <c r="J83" s="4"/>
      <c r="K83" s="4"/>
      <c r="L83" s="4"/>
      <c r="M83" s="8"/>
    </row>
    <row r="84" spans="2:13" ht="14.1" customHeight="1" x14ac:dyDescent="0.3">
      <c r="B84" s="7"/>
      <c r="C84" s="5" t="s">
        <v>185</v>
      </c>
      <c r="D84" s="8" t="s">
        <v>183</v>
      </c>
      <c r="E84" s="164">
        <f>E83-180</f>
        <v>720</v>
      </c>
      <c r="F84" s="78">
        <f>F83-180</f>
        <v>720</v>
      </c>
      <c r="G84" s="164">
        <f>G83-180</f>
        <v>720</v>
      </c>
      <c r="H84" s="165">
        <f>H83-180</f>
        <v>720</v>
      </c>
      <c r="I84" s="7"/>
      <c r="J84" s="4"/>
      <c r="K84" s="4"/>
      <c r="L84" s="4"/>
      <c r="M84" s="8"/>
    </row>
    <row r="85" spans="2:13" ht="14.1" customHeight="1" x14ac:dyDescent="0.3">
      <c r="B85" s="7"/>
      <c r="C85" s="5" t="s">
        <v>186</v>
      </c>
      <c r="D85" s="8" t="s">
        <v>183</v>
      </c>
      <c r="E85" s="164">
        <f>E84*7/8</f>
        <v>630</v>
      </c>
      <c r="F85" s="78">
        <f>F84*7/8</f>
        <v>630</v>
      </c>
      <c r="G85" s="164">
        <f>G84*7/8</f>
        <v>630</v>
      </c>
      <c r="H85" s="165">
        <f>H84*7/8</f>
        <v>630</v>
      </c>
      <c r="I85" s="7"/>
      <c r="J85" s="4"/>
      <c r="K85" s="4"/>
      <c r="L85" s="4"/>
      <c r="M85" s="8"/>
    </row>
    <row r="86" spans="2:13" ht="14.1" customHeight="1" x14ac:dyDescent="0.3">
      <c r="B86" s="79" t="s">
        <v>187</v>
      </c>
      <c r="C86" s="56" t="s">
        <v>188</v>
      </c>
      <c r="D86" s="12"/>
      <c r="E86" s="166">
        <v>0.2</v>
      </c>
      <c r="F86" s="167">
        <v>0.2</v>
      </c>
      <c r="G86" s="168">
        <f>E86</f>
        <v>0.2</v>
      </c>
      <c r="H86" s="147">
        <f>F86</f>
        <v>0.2</v>
      </c>
      <c r="I86" s="7"/>
      <c r="J86" s="4"/>
      <c r="K86" s="4"/>
      <c r="L86" s="4"/>
      <c r="M86" s="8"/>
    </row>
    <row r="87" spans="2:13" ht="14.1" customHeight="1" x14ac:dyDescent="0.3">
      <c r="B87" s="81" t="s">
        <v>189</v>
      </c>
      <c r="C87" s="5" t="s">
        <v>174</v>
      </c>
      <c r="D87" s="8" t="s">
        <v>171</v>
      </c>
      <c r="E87" s="77">
        <f>E79/E80*E86</f>
        <v>501.6</v>
      </c>
      <c r="F87" s="164">
        <f>E79/E80*F86</f>
        <v>501.6</v>
      </c>
      <c r="G87" s="78">
        <f>G79/G80*G86</f>
        <v>577.20000000000005</v>
      </c>
      <c r="H87" s="164">
        <f>G79/G80*H86</f>
        <v>577.20000000000005</v>
      </c>
      <c r="I87" s="7"/>
      <c r="J87" s="4"/>
      <c r="K87" s="4"/>
      <c r="L87" s="4"/>
      <c r="M87" s="8"/>
    </row>
    <row r="88" spans="2:13" ht="14.1" customHeight="1" x14ac:dyDescent="0.3">
      <c r="B88" s="81" t="s">
        <v>198</v>
      </c>
      <c r="C88" s="5" t="s">
        <v>176</v>
      </c>
      <c r="D88" s="8" t="s">
        <v>574</v>
      </c>
      <c r="E88" s="169">
        <f>E87*1000/(F82*E85)</f>
        <v>0.53079365079365082</v>
      </c>
      <c r="F88" s="170">
        <f>F87*1000/(E82*F85)</f>
        <v>0.53079365079365082</v>
      </c>
      <c r="G88" s="169">
        <f>G87*1000/(H82*G85)</f>
        <v>0.61079365079365078</v>
      </c>
      <c r="H88" s="170">
        <f>H87*1000/(G82*H85)</f>
        <v>0.61079365079365078</v>
      </c>
      <c r="I88" s="7"/>
      <c r="J88" s="4"/>
      <c r="K88" s="4"/>
      <c r="L88" s="4"/>
      <c r="M88" s="8"/>
    </row>
    <row r="89" spans="2:13" ht="14.1" customHeight="1" x14ac:dyDescent="0.3">
      <c r="B89" s="447" t="s">
        <v>199</v>
      </c>
      <c r="C89" s="456"/>
      <c r="D89" s="455"/>
      <c r="E89" s="169">
        <f>+E88/E78</f>
        <v>0.75827664399092976</v>
      </c>
      <c r="F89" s="170">
        <f>F88/E78</f>
        <v>0.75827664399092976</v>
      </c>
      <c r="G89" s="36">
        <f>+G88/G78</f>
        <v>0.58170823885109613</v>
      </c>
      <c r="H89" s="170">
        <f>+H88/G78</f>
        <v>0.58170823885109613</v>
      </c>
      <c r="I89" s="7"/>
      <c r="J89" s="4"/>
      <c r="K89" s="4"/>
      <c r="L89" s="4"/>
      <c r="M89" s="8"/>
    </row>
    <row r="90" spans="2:13" ht="14.1" customHeight="1" x14ac:dyDescent="0.3">
      <c r="B90" s="466" t="s">
        <v>257</v>
      </c>
      <c r="C90" s="461"/>
      <c r="D90" s="462"/>
      <c r="E90" s="171" t="str">
        <f>IF(E89&lt;1,"OK","NG")</f>
        <v>OK</v>
      </c>
      <c r="F90" s="172" t="str">
        <f>IF(F89&lt;1,"OK","NG")</f>
        <v>OK</v>
      </c>
      <c r="G90" s="173" t="str">
        <f>IF(G89&lt;1,"OK","NG")</f>
        <v>OK</v>
      </c>
      <c r="H90" s="172" t="str">
        <f>IF(H89&lt;1,"OK","NG")</f>
        <v>OK</v>
      </c>
      <c r="I90" s="7"/>
      <c r="J90" s="4"/>
      <c r="K90" s="4"/>
      <c r="L90" s="4"/>
      <c r="M90" s="8"/>
    </row>
    <row r="91" spans="2:13" ht="14.1" customHeight="1" x14ac:dyDescent="0.3">
      <c r="B91" s="81" t="s">
        <v>575</v>
      </c>
      <c r="C91" s="5" t="s">
        <v>190</v>
      </c>
      <c r="D91" s="8" t="s">
        <v>183</v>
      </c>
      <c r="E91" s="174">
        <v>100</v>
      </c>
      <c r="F91" s="159">
        <v>100</v>
      </c>
      <c r="G91" s="78">
        <f>E91</f>
        <v>100</v>
      </c>
      <c r="H91" s="164">
        <f>F91</f>
        <v>100</v>
      </c>
      <c r="I91" s="7"/>
      <c r="J91" s="4"/>
      <c r="K91" s="4"/>
      <c r="L91" s="4"/>
      <c r="M91" s="8"/>
    </row>
    <row r="92" spans="2:13" ht="14.1" customHeight="1" x14ac:dyDescent="0.3">
      <c r="B92" s="81" t="s">
        <v>203</v>
      </c>
      <c r="C92" s="5" t="s">
        <v>191</v>
      </c>
      <c r="D92" s="8" t="s">
        <v>200</v>
      </c>
      <c r="E92" s="77">
        <f>E87*E91/1000</f>
        <v>50.16</v>
      </c>
      <c r="F92" s="77">
        <f>F87*F91/1000</f>
        <v>50.16</v>
      </c>
      <c r="G92" s="164">
        <f>G87*G91/1000</f>
        <v>57.720000000000006</v>
      </c>
      <c r="H92" s="77">
        <f>H87*H91/1000</f>
        <v>57.720000000000006</v>
      </c>
      <c r="I92" s="7"/>
      <c r="J92" s="4"/>
      <c r="K92" s="4"/>
      <c r="L92" s="4"/>
      <c r="M92" s="8"/>
    </row>
    <row r="93" spans="2:13" ht="14.1" customHeight="1" x14ac:dyDescent="0.3">
      <c r="B93" s="447" t="s">
        <v>204</v>
      </c>
      <c r="C93" s="448"/>
      <c r="D93" s="449"/>
      <c r="E93" s="157" t="s">
        <v>590</v>
      </c>
      <c r="F93" s="175" t="s">
        <v>590</v>
      </c>
      <c r="G93" s="5" t="str">
        <f>+E93</f>
        <v>7-D13</v>
      </c>
      <c r="H93" s="158" t="str">
        <f>+F93</f>
        <v>7-D13</v>
      </c>
      <c r="I93" s="7"/>
      <c r="J93" s="4"/>
      <c r="K93" s="4"/>
      <c r="L93" s="4"/>
      <c r="M93" s="8"/>
    </row>
    <row r="94" spans="2:13" ht="14.1" customHeight="1" x14ac:dyDescent="0.3">
      <c r="B94" s="81" t="s">
        <v>576</v>
      </c>
      <c r="C94" s="5" t="s">
        <v>173</v>
      </c>
      <c r="D94" s="8" t="s">
        <v>565</v>
      </c>
      <c r="E94" s="6" t="e">
        <f ca="1">IF([2]!bar(E93, 1)*10&lt;16,[2]!BarFt(E93, 1, $E74)/10,[2]!BarFt(E93, 1, $E75)/10)</f>
        <v>#NAME?</v>
      </c>
      <c r="F94" s="158" t="e">
        <f ca="1">IF([2]!bar(F93, 1)*10&lt;16,[2]!BarFt(F93, 1, $E74)/10,[2]!BarFt(F93, 1, $E75)/10)</f>
        <v>#NAME?</v>
      </c>
      <c r="G94" s="5" t="e">
        <f ca="1">IF([2]!bar(G93, 1)*10&lt;16,[2]!BarFt(G93, 2, $E74)/10,[2]!BarFt(G93, 2, $E75)/10)</f>
        <v>#NAME?</v>
      </c>
      <c r="H94" s="6" t="e">
        <f ca="1">IF([2]!bar(H93, 1)*10&lt;16,[2]!BarFt(H93, 2, $E74)/10,[2]!BarFt(H93, 2, $E75)/10)</f>
        <v>#NAME?</v>
      </c>
      <c r="I94" s="7"/>
      <c r="J94" s="4"/>
      <c r="K94" s="4"/>
      <c r="L94" s="4"/>
      <c r="M94" s="8"/>
    </row>
    <row r="95" spans="2:13" ht="14.1" customHeight="1" x14ac:dyDescent="0.3">
      <c r="B95" s="81" t="s">
        <v>192</v>
      </c>
      <c r="C95" s="5" t="s">
        <v>175</v>
      </c>
      <c r="D95" s="8" t="s">
        <v>577</v>
      </c>
      <c r="E95" s="77" t="e">
        <f ca="1">[2]!bar(E93, 11)*100</f>
        <v>#NAME?</v>
      </c>
      <c r="F95" s="164" t="e">
        <f ca="1">[2]!bar(F93, 11)*100</f>
        <v>#NAME?</v>
      </c>
      <c r="G95" s="78" t="e">
        <f ca="1">[2]!bar(G93, 11)*100</f>
        <v>#NAME?</v>
      </c>
      <c r="H95" s="77" t="e">
        <f ca="1">[2]!bar(H93, 11)*100</f>
        <v>#NAME?</v>
      </c>
      <c r="I95" s="7"/>
      <c r="J95" s="4"/>
      <c r="K95" s="4"/>
      <c r="L95" s="4"/>
      <c r="M95" s="8"/>
    </row>
    <row r="96" spans="2:13" ht="14.1" customHeight="1" x14ac:dyDescent="0.3">
      <c r="B96" s="81" t="s">
        <v>193</v>
      </c>
      <c r="C96" s="5" t="s">
        <v>194</v>
      </c>
      <c r="D96" s="8" t="s">
        <v>565</v>
      </c>
      <c r="E96" s="176" t="e">
        <f ca="1">+E92*1000000/(E95*E85)</f>
        <v>#NAME?</v>
      </c>
      <c r="F96" s="177" t="e">
        <f ca="1">+F92*1000000/(F95*F85)</f>
        <v>#NAME?</v>
      </c>
      <c r="G96" s="151" t="e">
        <f ca="1">+G92*1000000/(G95*G85)</f>
        <v>#NAME?</v>
      </c>
      <c r="H96" s="177" t="e">
        <f ca="1">+H92*1000000/(H95*H85)</f>
        <v>#NAME?</v>
      </c>
      <c r="I96" s="7"/>
      <c r="J96" s="4"/>
      <c r="K96" s="4"/>
      <c r="L96" s="4"/>
      <c r="M96" s="8"/>
    </row>
    <row r="97" spans="2:13" ht="14.1" customHeight="1" x14ac:dyDescent="0.3">
      <c r="B97" s="447" t="s">
        <v>195</v>
      </c>
      <c r="C97" s="448"/>
      <c r="D97" s="449"/>
      <c r="E97" s="178" t="e">
        <f ca="1">E96/E94</f>
        <v>#NAME?</v>
      </c>
      <c r="F97" s="179" t="e">
        <f ca="1">F96/F94</f>
        <v>#NAME?</v>
      </c>
      <c r="G97" s="143" t="e">
        <f ca="1">G96/G94</f>
        <v>#NAME?</v>
      </c>
      <c r="H97" s="178" t="e">
        <f ca="1">H96/H94</f>
        <v>#NAME?</v>
      </c>
      <c r="I97" s="7"/>
      <c r="J97" s="4"/>
      <c r="K97" s="4"/>
      <c r="L97" s="4"/>
      <c r="M97" s="8"/>
    </row>
    <row r="98" spans="2:13" ht="14.1" customHeight="1" x14ac:dyDescent="0.3">
      <c r="B98" s="450" t="s">
        <v>257</v>
      </c>
      <c r="C98" s="451"/>
      <c r="D98" s="452"/>
      <c r="E98" s="180" t="e">
        <f ca="1">IF(E97&lt;1,"OK","NG")</f>
        <v>#NAME?</v>
      </c>
      <c r="F98" s="172" t="e">
        <f ca="1">IF(F97&lt;1,"OK","NG")</f>
        <v>#NAME?</v>
      </c>
      <c r="G98" s="181" t="e">
        <f ca="1">IF(G97&lt;1,"OK","NG")</f>
        <v>#NAME?</v>
      </c>
      <c r="H98" s="182" t="e">
        <f ca="1">IF(H97&lt;1,"OK","NG")</f>
        <v>#NAME?</v>
      </c>
      <c r="I98" s="7"/>
      <c r="J98" s="4"/>
      <c r="K98" s="4"/>
      <c r="L98" s="4"/>
      <c r="M98" s="8"/>
    </row>
    <row r="99" spans="2:13" ht="14.1" customHeight="1" x14ac:dyDescent="0.3">
      <c r="B99" s="1" t="s">
        <v>578</v>
      </c>
      <c r="C99" s="155" t="s">
        <v>579</v>
      </c>
      <c r="D99" s="156" t="s">
        <v>574</v>
      </c>
      <c r="E99" s="183" t="e">
        <f ca="1">E96*2/3</f>
        <v>#NAME?</v>
      </c>
      <c r="F99" s="183" t="e">
        <f ca="1">F96*2/3</f>
        <v>#NAME?</v>
      </c>
      <c r="G99" s="183" t="e">
        <f ca="1">G96*2/3</f>
        <v>#NAME?</v>
      </c>
      <c r="H99" s="183" t="e">
        <f ca="1">H96*2/3</f>
        <v>#NAME?</v>
      </c>
      <c r="I99" s="7"/>
      <c r="J99" s="4"/>
      <c r="K99" s="4"/>
      <c r="L99" s="4"/>
      <c r="M99" s="8"/>
    </row>
    <row r="100" spans="2:13" ht="14.1" customHeight="1" x14ac:dyDescent="0.3">
      <c r="B100" s="81"/>
      <c r="C100" s="5" t="s">
        <v>580</v>
      </c>
      <c r="D100" s="8"/>
      <c r="E100" s="176" t="e">
        <f ca="1">MIN((E82-80*2-[2]!bar(E93,12)*10/PI())/(([2]!bar(E93,2)-1)),80*3,[2]!bar(E93,1)*5*10)</f>
        <v>#NAME?</v>
      </c>
      <c r="F100" s="176" t="e">
        <f ca="1">MIN((F82-80*2-[2]!bar(F93,12)*10/PI())/(([2]!bar(F93,2)-1)),80*3,[2]!bar(F93,1)*5*10)</f>
        <v>#NAME?</v>
      </c>
      <c r="G100" s="176" t="e">
        <f ca="1">MIN((G82-80*2-[2]!bar(G93,12)*10/PI())/(([2]!bar(G93,2)-1)),80*3,[2]!bar(G93,1)*5*10)</f>
        <v>#NAME?</v>
      </c>
      <c r="H100" s="176" t="e">
        <f ca="1">MIN((H82-80*2-[2]!bar(H93,12)*10/PI())/(([2]!bar(H93,2)-1)),80*3,[2]!bar(H93,1)*5*10)</f>
        <v>#NAME?</v>
      </c>
      <c r="I100" s="7"/>
      <c r="J100" s="4"/>
      <c r="K100" s="4"/>
      <c r="L100" s="4"/>
      <c r="M100" s="8"/>
    </row>
    <row r="101" spans="2:13" ht="14.1" customHeight="1" x14ac:dyDescent="0.3">
      <c r="B101" s="6"/>
      <c r="C101" s="5" t="s">
        <v>581</v>
      </c>
      <c r="D101" s="8"/>
      <c r="E101" s="169" t="e">
        <f ca="1">0.3*E100/([2]!bar(E93,1)*10)+0.4</f>
        <v>#NAME?</v>
      </c>
      <c r="F101" s="170" t="e">
        <f ca="1">0.3*F100/([2]!bar(F93,1)*10)+0.4</f>
        <v>#NAME?</v>
      </c>
      <c r="G101" s="36" t="e">
        <f ca="1">0.3*G100/([2]!bar(G93,1)*10)+0.4</f>
        <v>#NAME?</v>
      </c>
      <c r="H101" s="170" t="e">
        <f ca="1">0.3*H100/([2]!bar(H93,1)*10)+0.4</f>
        <v>#NAME?</v>
      </c>
      <c r="I101" s="7"/>
      <c r="J101" s="4"/>
      <c r="K101" s="4"/>
      <c r="L101" s="4"/>
      <c r="M101" s="8"/>
    </row>
    <row r="102" spans="2:13" ht="14.1" customHeight="1" x14ac:dyDescent="0.3">
      <c r="B102" s="6" t="s">
        <v>582</v>
      </c>
      <c r="C102" s="5" t="s">
        <v>205</v>
      </c>
      <c r="D102" s="8"/>
      <c r="E102" s="178">
        <f>G73/60+0.6</f>
        <v>0.95</v>
      </c>
      <c r="F102" s="179">
        <f>G73/60+0.6</f>
        <v>0.95</v>
      </c>
      <c r="G102" s="143">
        <f>E102*1.5</f>
        <v>1.4249999999999998</v>
      </c>
      <c r="H102" s="179">
        <f>F102*1.5</f>
        <v>1.4249999999999998</v>
      </c>
      <c r="I102" s="7"/>
      <c r="J102" s="4"/>
      <c r="K102" s="4"/>
      <c r="L102" s="4"/>
      <c r="M102" s="8"/>
    </row>
    <row r="103" spans="2:13" ht="14.1" customHeight="1" x14ac:dyDescent="0.3">
      <c r="B103" s="7"/>
      <c r="C103" s="5" t="s">
        <v>206</v>
      </c>
      <c r="D103" s="8" t="s">
        <v>583</v>
      </c>
      <c r="E103" s="176" t="e">
        <f ca="1">[2]!bar(E93,1)*10/4</f>
        <v>#NAME?</v>
      </c>
      <c r="F103" s="177" t="e">
        <f ca="1">[2]!bar(F93,1)*10/4</f>
        <v>#NAME?</v>
      </c>
      <c r="G103" s="151" t="e">
        <f ca="1">[2]!bar(G93,1)*10/4</f>
        <v>#NAME?</v>
      </c>
      <c r="H103" s="177" t="e">
        <f ca="1">[2]!bar(H93,1)*10/4</f>
        <v>#NAME?</v>
      </c>
      <c r="I103" s="7"/>
      <c r="J103" s="4"/>
      <c r="K103" s="4"/>
      <c r="L103" s="4"/>
      <c r="M103" s="8"/>
    </row>
    <row r="104" spans="2:13" ht="14.1" customHeight="1" x14ac:dyDescent="0.3">
      <c r="B104" s="80" t="s">
        <v>584</v>
      </c>
      <c r="C104" s="56" t="s">
        <v>585</v>
      </c>
      <c r="D104" s="12" t="s">
        <v>586</v>
      </c>
      <c r="E104" s="184" t="e">
        <f ca="1">E99*E103/(E101*E102)</f>
        <v>#NAME?</v>
      </c>
      <c r="F104" s="185" t="e">
        <f ca="1">F99*F103/(F101*F102)</f>
        <v>#NAME?</v>
      </c>
      <c r="G104" s="186" t="e">
        <f ca="1">G99*G103/(G101*G102)</f>
        <v>#NAME?</v>
      </c>
      <c r="H104" s="185" t="e">
        <f ca="1">H99*H103/(H101*H102)</f>
        <v>#NAME?</v>
      </c>
      <c r="I104" s="10"/>
      <c r="J104" s="11"/>
      <c r="K104" s="11"/>
      <c r="L104" s="11"/>
      <c r="M104" s="12"/>
    </row>
  </sheetData>
  <mergeCells count="60">
    <mergeCell ref="E10:F10"/>
    <mergeCell ref="G10:H10"/>
    <mergeCell ref="E11:F11"/>
    <mergeCell ref="G11:H11"/>
    <mergeCell ref="E7:F7"/>
    <mergeCell ref="G7:H7"/>
    <mergeCell ref="E9:F9"/>
    <mergeCell ref="E3:H3"/>
    <mergeCell ref="E5:H5"/>
    <mergeCell ref="E6:H6"/>
    <mergeCell ref="G9:H9"/>
    <mergeCell ref="E8:F8"/>
    <mergeCell ref="G8:H8"/>
    <mergeCell ref="B3:D3"/>
    <mergeCell ref="B29:D29"/>
    <mergeCell ref="B12:D12"/>
    <mergeCell ref="B24:D24"/>
    <mergeCell ref="B21:D21"/>
    <mergeCell ref="B20:D20"/>
    <mergeCell ref="B28:D28"/>
    <mergeCell ref="E41:F41"/>
    <mergeCell ref="G41:H41"/>
    <mergeCell ref="E42:F42"/>
    <mergeCell ref="G42:H42"/>
    <mergeCell ref="B37:D37"/>
    <mergeCell ref="E37:H37"/>
    <mergeCell ref="E39:H39"/>
    <mergeCell ref="E40:H40"/>
    <mergeCell ref="G45:H45"/>
    <mergeCell ref="B46:D46"/>
    <mergeCell ref="B54:D54"/>
    <mergeCell ref="E43:F43"/>
    <mergeCell ref="G43:H43"/>
    <mergeCell ref="E44:F44"/>
    <mergeCell ref="G44:H44"/>
    <mergeCell ref="B55:D55"/>
    <mergeCell ref="B58:D58"/>
    <mergeCell ref="B62:D62"/>
    <mergeCell ref="B63:D63"/>
    <mergeCell ref="E45:F45"/>
    <mergeCell ref="E76:F76"/>
    <mergeCell ref="G76:H76"/>
    <mergeCell ref="E77:F77"/>
    <mergeCell ref="G77:H77"/>
    <mergeCell ref="B72:D72"/>
    <mergeCell ref="E72:H72"/>
    <mergeCell ref="E74:H74"/>
    <mergeCell ref="E75:H75"/>
    <mergeCell ref="B97:D97"/>
    <mergeCell ref="B98:D98"/>
    <mergeCell ref="E80:F80"/>
    <mergeCell ref="E78:F78"/>
    <mergeCell ref="G78:H78"/>
    <mergeCell ref="E79:F79"/>
    <mergeCell ref="G79:H79"/>
    <mergeCell ref="G80:H80"/>
    <mergeCell ref="B81:D81"/>
    <mergeCell ref="B89:D89"/>
    <mergeCell ref="B90:D90"/>
    <mergeCell ref="B93:D93"/>
  </mergeCells>
  <phoneticPr fontId="2"/>
  <pageMargins left="0.61" right="0.78740157480314965" top="0.98425196850393704" bottom="0.85" header="0.51181102362204722" footer="0.51181102362204722"/>
  <pageSetup paperSize="9" orientation="landscape" horizontalDpi="4294967294" verticalDpi="400" r:id="rId1"/>
  <headerFooter alignWithMargins="0">
    <oddFooter>&amp;C&amp;1#&amp;"Calibri"&amp;10&amp;K000000Confidential</oddFooter>
  </headerFooter>
  <rowBreaks count="1" manualBreakCount="1">
    <brk id="71" max="16383" man="1"/>
  </rowBreaks>
  <drawing r:id="rId2"/>
  <legacyDrawing r:id="rId3"/>
  <oleObjects>
    <mc:AlternateContent xmlns:mc="http://schemas.openxmlformats.org/markup-compatibility/2006">
      <mc:Choice Requires="x14">
        <oleObject progId="AcroExch.Document.7" shapeId="1030" r:id="rId4">
          <objectPr defaultSize="0" autoPict="0" r:id="rId5">
            <anchor moveWithCells="1">
              <from>
                <xdr:col>8</xdr:col>
                <xdr:colOff>247650</xdr:colOff>
                <xdr:row>6</xdr:row>
                <xdr:rowOff>38100</xdr:rowOff>
              </from>
              <to>
                <xdr:col>12</xdr:col>
                <xdr:colOff>449580</xdr:colOff>
                <xdr:row>30</xdr:row>
                <xdr:rowOff>87630</xdr:rowOff>
              </to>
            </anchor>
          </objectPr>
        </oleObject>
      </mc:Choice>
      <mc:Fallback>
        <oleObject progId="AcroExch.Document.7" shapeId="1030" r:id="rId4"/>
      </mc:Fallback>
    </mc:AlternateContent>
    <mc:AlternateContent xmlns:mc="http://schemas.openxmlformats.org/markup-compatibility/2006">
      <mc:Choice Requires="x14">
        <oleObject progId="AcroExch.Document.7" shapeId="1031" r:id="rId6">
          <objectPr defaultSize="0" autoPict="0" r:id="rId7">
            <anchor moveWithCells="1">
              <from>
                <xdr:col>8</xdr:col>
                <xdr:colOff>220980</xdr:colOff>
                <xdr:row>39</xdr:row>
                <xdr:rowOff>114300</xdr:rowOff>
              </from>
              <to>
                <xdr:col>12</xdr:col>
                <xdr:colOff>525780</xdr:colOff>
                <xdr:row>64</xdr:row>
                <xdr:rowOff>144780</xdr:rowOff>
              </to>
            </anchor>
          </objectPr>
        </oleObject>
      </mc:Choice>
      <mc:Fallback>
        <oleObject progId="AcroExch.Document.7" shapeId="1031" r:id="rId6"/>
      </mc:Fallback>
    </mc:AlternateContent>
    <mc:AlternateContent xmlns:mc="http://schemas.openxmlformats.org/markup-compatibility/2006">
      <mc:Choice Requires="x14">
        <oleObject progId="AcroExch.Document.7" shapeId="1032" r:id="rId8">
          <objectPr defaultSize="0" autoPict="0" r:id="rId9">
            <anchor moveWithCells="1">
              <from>
                <xdr:col>8</xdr:col>
                <xdr:colOff>209550</xdr:colOff>
                <xdr:row>74</xdr:row>
                <xdr:rowOff>114300</xdr:rowOff>
              </from>
              <to>
                <xdr:col>12</xdr:col>
                <xdr:colOff>487680</xdr:colOff>
                <xdr:row>99</xdr:row>
                <xdr:rowOff>95250</xdr:rowOff>
              </to>
            </anchor>
          </objectPr>
        </oleObject>
      </mc:Choice>
      <mc:Fallback>
        <oleObject progId="AcroExch.Document.7" shapeId="1032" r:id="rId8"/>
      </mc:Fallback>
    </mc:AlternateContent>
  </oleObjec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B2:I31"/>
  <sheetViews>
    <sheetView workbookViewId="0">
      <selection activeCell="D16" sqref="D16"/>
    </sheetView>
  </sheetViews>
  <sheetFormatPr defaultColWidth="9" defaultRowHeight="11.7" x14ac:dyDescent="0.3"/>
  <cols>
    <col min="1" max="16384" width="9" style="2"/>
  </cols>
  <sheetData>
    <row r="2" spans="2:9" x14ac:dyDescent="0.3">
      <c r="D2" s="3">
        <v>300</v>
      </c>
      <c r="E2" s="3">
        <v>350</v>
      </c>
      <c r="F2" s="3">
        <v>400</v>
      </c>
      <c r="G2" s="3">
        <v>450</v>
      </c>
      <c r="H2" s="3">
        <v>500</v>
      </c>
      <c r="I2" s="3">
        <v>600</v>
      </c>
    </row>
    <row r="3" spans="2:9" x14ac:dyDescent="0.3">
      <c r="B3" s="2">
        <v>0</v>
      </c>
    </row>
    <row r="4" spans="2:9" x14ac:dyDescent="0.3">
      <c r="B4" s="2">
        <v>1</v>
      </c>
      <c r="C4" s="98">
        <v>13</v>
      </c>
      <c r="D4" s="97">
        <f t="shared" ref="D4:D24" si="0">(C3*0.7+C4*0.8)/1.5</f>
        <v>6.9333333333333336</v>
      </c>
      <c r="E4" s="97">
        <f t="shared" ref="E4:E24" si="1">(C3*0.9+C4*0.85)/1.75</f>
        <v>6.3142857142857141</v>
      </c>
      <c r="F4" s="97">
        <f t="shared" ref="F4:F24" si="2">(C2*0.1+C3+C4*0.9)/2</f>
        <v>5.8500000000000005</v>
      </c>
      <c r="G4" s="97">
        <f t="shared" ref="G4:G24" si="3">(C2*0.3+C3+C4*0.95)/2.25</f>
        <v>5.4888888888888889</v>
      </c>
      <c r="H4" s="97">
        <f t="shared" ref="H4:H24" si="4">(C2*0.5+C3+C4)/2.5</f>
        <v>5.2</v>
      </c>
      <c r="I4" s="97">
        <f t="shared" ref="I4:I24" si="5">(C2*0.9+C3+C4+C5*0.1)/3</f>
        <v>4.6000000000000005</v>
      </c>
    </row>
    <row r="5" spans="2:9" x14ac:dyDescent="0.3">
      <c r="B5" s="2">
        <v>2</v>
      </c>
      <c r="C5" s="98">
        <v>8</v>
      </c>
      <c r="D5" s="97">
        <f t="shared" si="0"/>
        <v>10.333333333333334</v>
      </c>
      <c r="E5" s="97">
        <f t="shared" si="1"/>
        <v>10.571428571428571</v>
      </c>
      <c r="F5" s="97">
        <f t="shared" si="2"/>
        <v>10.1</v>
      </c>
      <c r="G5" s="97">
        <f t="shared" si="3"/>
        <v>9.1555555555555568</v>
      </c>
      <c r="H5" s="97">
        <f t="shared" si="4"/>
        <v>8.4</v>
      </c>
      <c r="I5" s="97">
        <f t="shared" si="5"/>
        <v>7.5666666666666664</v>
      </c>
    </row>
    <row r="6" spans="2:9" x14ac:dyDescent="0.3">
      <c r="B6" s="2">
        <v>3</v>
      </c>
      <c r="C6" s="98">
        <v>17</v>
      </c>
      <c r="D6" s="97">
        <f t="shared" si="0"/>
        <v>12.800000000000002</v>
      </c>
      <c r="E6" s="97">
        <f t="shared" si="1"/>
        <v>12.37142857142857</v>
      </c>
      <c r="F6" s="97">
        <f t="shared" si="2"/>
        <v>12.3</v>
      </c>
      <c r="G6" s="97">
        <f t="shared" si="3"/>
        <v>12.466666666666665</v>
      </c>
      <c r="H6" s="97">
        <f t="shared" si="4"/>
        <v>12.6</v>
      </c>
      <c r="I6" s="97">
        <f t="shared" si="5"/>
        <v>12.733333333333334</v>
      </c>
    </row>
    <row r="7" spans="2:9" x14ac:dyDescent="0.3">
      <c r="B7" s="2">
        <v>4</v>
      </c>
      <c r="C7" s="98">
        <v>15</v>
      </c>
      <c r="D7" s="97">
        <f t="shared" si="0"/>
        <v>15.933333333333332</v>
      </c>
      <c r="E7" s="97">
        <f t="shared" si="1"/>
        <v>16.028571428571428</v>
      </c>
      <c r="F7" s="97">
        <f t="shared" si="2"/>
        <v>15.65</v>
      </c>
      <c r="G7" s="97">
        <f t="shared" si="3"/>
        <v>14.955555555555556</v>
      </c>
      <c r="H7" s="97">
        <f t="shared" si="4"/>
        <v>14.4</v>
      </c>
      <c r="I7" s="97">
        <f t="shared" si="5"/>
        <v>13.533333333333333</v>
      </c>
    </row>
    <row r="8" spans="2:9" x14ac:dyDescent="0.3">
      <c r="B8" s="2">
        <v>5</v>
      </c>
      <c r="C8" s="98">
        <v>14</v>
      </c>
      <c r="D8" s="97">
        <f t="shared" si="0"/>
        <v>14.466666666666669</v>
      </c>
      <c r="E8" s="97">
        <f t="shared" si="1"/>
        <v>14.514285714285714</v>
      </c>
      <c r="F8" s="97">
        <f t="shared" si="2"/>
        <v>14.649999999999999</v>
      </c>
      <c r="G8" s="97">
        <f t="shared" si="3"/>
        <v>14.844444444444443</v>
      </c>
      <c r="H8" s="97">
        <f t="shared" si="4"/>
        <v>15</v>
      </c>
      <c r="I8" s="97">
        <f t="shared" si="5"/>
        <v>15.366666666666665</v>
      </c>
    </row>
    <row r="9" spans="2:9" x14ac:dyDescent="0.3">
      <c r="B9" s="2">
        <v>6</v>
      </c>
      <c r="C9" s="98">
        <v>18</v>
      </c>
      <c r="D9" s="97">
        <f t="shared" si="0"/>
        <v>16.133333333333333</v>
      </c>
      <c r="E9" s="97">
        <f t="shared" si="1"/>
        <v>15.942857142857141</v>
      </c>
      <c r="F9" s="97">
        <f t="shared" si="2"/>
        <v>15.85</v>
      </c>
      <c r="G9" s="97">
        <f t="shared" si="3"/>
        <v>15.822222222222219</v>
      </c>
      <c r="H9" s="97">
        <f t="shared" si="4"/>
        <v>15.8</v>
      </c>
      <c r="I9" s="97">
        <f t="shared" si="5"/>
        <v>15.6</v>
      </c>
    </row>
    <row r="10" spans="2:9" x14ac:dyDescent="0.3">
      <c r="B10" s="2">
        <v>7</v>
      </c>
      <c r="C10" s="98">
        <v>13</v>
      </c>
      <c r="D10" s="97">
        <f t="shared" si="0"/>
        <v>15.333333333333334</v>
      </c>
      <c r="E10" s="97">
        <f t="shared" si="1"/>
        <v>15.571428571428571</v>
      </c>
      <c r="F10" s="97">
        <f t="shared" si="2"/>
        <v>15.55</v>
      </c>
      <c r="G10" s="97">
        <f t="shared" si="3"/>
        <v>15.355555555555554</v>
      </c>
      <c r="H10" s="97">
        <f t="shared" si="4"/>
        <v>15.2</v>
      </c>
      <c r="I10" s="97">
        <f t="shared" si="5"/>
        <v>15.100000000000001</v>
      </c>
    </row>
    <row r="11" spans="2:9" x14ac:dyDescent="0.3">
      <c r="B11" s="2">
        <v>8</v>
      </c>
      <c r="C11" s="98">
        <v>17</v>
      </c>
      <c r="D11" s="97">
        <f t="shared" si="0"/>
        <v>15.133333333333335</v>
      </c>
      <c r="E11" s="97">
        <f t="shared" si="1"/>
        <v>14.942857142857141</v>
      </c>
      <c r="F11" s="97">
        <f t="shared" si="2"/>
        <v>15.05</v>
      </c>
      <c r="G11" s="97">
        <f t="shared" si="3"/>
        <v>15.355555555555554</v>
      </c>
      <c r="H11" s="97">
        <f t="shared" si="4"/>
        <v>15.6</v>
      </c>
      <c r="I11" s="97">
        <f t="shared" si="5"/>
        <v>16.266666666666669</v>
      </c>
    </row>
    <row r="12" spans="2:9" x14ac:dyDescent="0.3">
      <c r="B12" s="2">
        <v>9</v>
      </c>
      <c r="C12" s="98">
        <v>26</v>
      </c>
      <c r="D12" s="97">
        <f t="shared" si="0"/>
        <v>21.8</v>
      </c>
      <c r="E12" s="97">
        <f t="shared" si="1"/>
        <v>21.37142857142857</v>
      </c>
      <c r="F12" s="97">
        <f t="shared" si="2"/>
        <v>20.85</v>
      </c>
      <c r="G12" s="97">
        <f t="shared" si="3"/>
        <v>20.266666666666666</v>
      </c>
      <c r="H12" s="97">
        <f t="shared" si="4"/>
        <v>19.8</v>
      </c>
      <c r="I12" s="97">
        <f t="shared" si="5"/>
        <v>19.166666666666668</v>
      </c>
    </row>
    <row r="13" spans="2:9" x14ac:dyDescent="0.3">
      <c r="B13" s="2">
        <v>10</v>
      </c>
      <c r="C13" s="98">
        <v>28</v>
      </c>
      <c r="D13" s="97">
        <f t="shared" si="0"/>
        <v>27.066666666666666</v>
      </c>
      <c r="E13" s="97">
        <f t="shared" si="1"/>
        <v>26.971428571428572</v>
      </c>
      <c r="F13" s="97">
        <f t="shared" si="2"/>
        <v>26.45</v>
      </c>
      <c r="G13" s="97">
        <f t="shared" si="3"/>
        <v>25.644444444444446</v>
      </c>
      <c r="H13" s="97">
        <f t="shared" si="4"/>
        <v>25</v>
      </c>
      <c r="I13" s="97">
        <f t="shared" si="5"/>
        <v>24.833333333333332</v>
      </c>
    </row>
    <row r="14" spans="2:9" x14ac:dyDescent="0.3">
      <c r="B14" s="2">
        <v>11</v>
      </c>
      <c r="C14" s="98">
        <v>52</v>
      </c>
      <c r="D14" s="97">
        <f t="shared" si="0"/>
        <v>40.800000000000004</v>
      </c>
      <c r="E14" s="97">
        <f t="shared" si="1"/>
        <v>39.657142857142851</v>
      </c>
      <c r="F14" s="97">
        <f t="shared" si="2"/>
        <v>38.700000000000003</v>
      </c>
      <c r="G14" s="97">
        <f t="shared" si="3"/>
        <v>37.86666666666666</v>
      </c>
      <c r="H14" s="97">
        <f t="shared" si="4"/>
        <v>37.200000000000003</v>
      </c>
      <c r="I14" s="97">
        <f t="shared" si="5"/>
        <v>36.466666666666669</v>
      </c>
    </row>
    <row r="15" spans="2:9" x14ac:dyDescent="0.3">
      <c r="B15" s="2">
        <v>12</v>
      </c>
      <c r="C15" s="98">
        <v>60</v>
      </c>
      <c r="D15" s="97">
        <f>(C14*0.7+C15*0.8)/1.5</f>
        <v>56.266666666666673</v>
      </c>
      <c r="E15" s="97">
        <f t="shared" si="1"/>
        <v>55.885714285714293</v>
      </c>
      <c r="F15" s="97">
        <f t="shared" si="2"/>
        <v>54.4</v>
      </c>
      <c r="G15" s="97">
        <f t="shared" si="3"/>
        <v>52.177777777777777</v>
      </c>
      <c r="H15" s="97">
        <f t="shared" si="4"/>
        <v>50.4</v>
      </c>
      <c r="I15" s="97">
        <f t="shared" si="5"/>
        <v>47.733333333333327</v>
      </c>
    </row>
    <row r="16" spans="2:9" x14ac:dyDescent="0.3">
      <c r="B16" s="2">
        <v>13</v>
      </c>
      <c r="C16" s="98">
        <v>60</v>
      </c>
      <c r="D16" s="97">
        <f t="shared" si="0"/>
        <v>60</v>
      </c>
      <c r="E16" s="97">
        <f t="shared" si="1"/>
        <v>60</v>
      </c>
      <c r="F16" s="97">
        <f t="shared" si="2"/>
        <v>59.6</v>
      </c>
      <c r="G16" s="97">
        <f t="shared" si="3"/>
        <v>58.93333333333333</v>
      </c>
      <c r="H16" s="97">
        <f t="shared" si="4"/>
        <v>58.4</v>
      </c>
      <c r="I16" s="97">
        <f t="shared" si="5"/>
        <v>57.6</v>
      </c>
    </row>
    <row r="17" spans="2:9" x14ac:dyDescent="0.3">
      <c r="B17" s="2">
        <v>14</v>
      </c>
      <c r="C17" s="98">
        <v>60</v>
      </c>
      <c r="D17" s="97">
        <f t="shared" si="0"/>
        <v>60</v>
      </c>
      <c r="E17" s="97">
        <f t="shared" si="1"/>
        <v>60</v>
      </c>
      <c r="F17" s="97">
        <f t="shared" si="2"/>
        <v>60</v>
      </c>
      <c r="G17" s="97">
        <f t="shared" si="3"/>
        <v>60</v>
      </c>
      <c r="H17" s="97">
        <f t="shared" si="4"/>
        <v>60</v>
      </c>
      <c r="I17" s="97">
        <f t="shared" si="5"/>
        <v>60</v>
      </c>
    </row>
    <row r="18" spans="2:9" x14ac:dyDescent="0.3">
      <c r="B18" s="2">
        <v>15</v>
      </c>
      <c r="C18" s="98">
        <v>60</v>
      </c>
      <c r="D18" s="97">
        <f t="shared" si="0"/>
        <v>60</v>
      </c>
      <c r="E18" s="97">
        <f t="shared" si="1"/>
        <v>60</v>
      </c>
      <c r="F18" s="97">
        <f t="shared" si="2"/>
        <v>60</v>
      </c>
      <c r="G18" s="97">
        <f t="shared" si="3"/>
        <v>60</v>
      </c>
      <c r="H18" s="97">
        <f t="shared" si="4"/>
        <v>60</v>
      </c>
      <c r="I18" s="97">
        <f t="shared" si="5"/>
        <v>60</v>
      </c>
    </row>
    <row r="19" spans="2:9" x14ac:dyDescent="0.3">
      <c r="B19" s="2">
        <v>16</v>
      </c>
      <c r="C19" s="98">
        <v>60</v>
      </c>
      <c r="D19" s="97">
        <f t="shared" si="0"/>
        <v>60</v>
      </c>
      <c r="E19" s="97">
        <f t="shared" si="1"/>
        <v>60</v>
      </c>
      <c r="F19" s="97">
        <f t="shared" si="2"/>
        <v>60</v>
      </c>
      <c r="G19" s="97">
        <f t="shared" si="3"/>
        <v>60</v>
      </c>
      <c r="H19" s="97">
        <f t="shared" si="4"/>
        <v>60</v>
      </c>
      <c r="I19" s="97">
        <f t="shared" si="5"/>
        <v>60</v>
      </c>
    </row>
    <row r="20" spans="2:9" x14ac:dyDescent="0.3">
      <c r="B20" s="2">
        <v>17</v>
      </c>
      <c r="C20" s="98">
        <v>60</v>
      </c>
      <c r="D20" s="97">
        <f>(C19*0.7+C20*0.8)/1.5</f>
        <v>60</v>
      </c>
      <c r="E20" s="97">
        <f t="shared" si="1"/>
        <v>60</v>
      </c>
      <c r="F20" s="97">
        <f>(C18*0.1+C19+C20*0.9)/2</f>
        <v>60</v>
      </c>
      <c r="G20" s="97">
        <f t="shared" si="3"/>
        <v>60</v>
      </c>
      <c r="H20" s="97">
        <f t="shared" si="4"/>
        <v>60</v>
      </c>
      <c r="I20" s="97">
        <f>(C18*0.9+C19+C20+C21*0.1)/3</f>
        <v>60</v>
      </c>
    </row>
    <row r="21" spans="2:9" x14ac:dyDescent="0.3">
      <c r="B21" s="2">
        <v>18</v>
      </c>
      <c r="C21" s="98">
        <v>60</v>
      </c>
      <c r="D21" s="97">
        <f t="shared" si="0"/>
        <v>60</v>
      </c>
      <c r="E21" s="97">
        <f t="shared" si="1"/>
        <v>60</v>
      </c>
      <c r="F21" s="97">
        <f>(C19*0.1+C20+C21*0.9)/2</f>
        <v>60</v>
      </c>
      <c r="G21" s="97">
        <f t="shared" si="3"/>
        <v>60</v>
      </c>
      <c r="H21" s="97">
        <f t="shared" si="4"/>
        <v>60</v>
      </c>
      <c r="I21" s="97">
        <f t="shared" si="5"/>
        <v>60</v>
      </c>
    </row>
    <row r="22" spans="2:9" x14ac:dyDescent="0.3">
      <c r="B22" s="2">
        <v>19</v>
      </c>
      <c r="C22" s="98">
        <v>60</v>
      </c>
      <c r="D22" s="97">
        <f t="shared" si="0"/>
        <v>60</v>
      </c>
      <c r="E22" s="97">
        <f t="shared" si="1"/>
        <v>60</v>
      </c>
      <c r="F22" s="97">
        <f t="shared" si="2"/>
        <v>60</v>
      </c>
      <c r="G22" s="97">
        <f t="shared" si="3"/>
        <v>60</v>
      </c>
      <c r="H22" s="97">
        <f t="shared" si="4"/>
        <v>60</v>
      </c>
      <c r="I22" s="97">
        <f t="shared" si="5"/>
        <v>60</v>
      </c>
    </row>
    <row r="23" spans="2:9" x14ac:dyDescent="0.3">
      <c r="B23" s="2">
        <v>20</v>
      </c>
      <c r="C23" s="98">
        <v>60</v>
      </c>
      <c r="D23" s="97">
        <f t="shared" si="0"/>
        <v>60</v>
      </c>
      <c r="E23" s="97">
        <f t="shared" si="1"/>
        <v>60</v>
      </c>
      <c r="F23" s="97">
        <f t="shared" si="2"/>
        <v>60</v>
      </c>
      <c r="G23" s="97">
        <f t="shared" si="3"/>
        <v>60</v>
      </c>
      <c r="H23" s="97">
        <f t="shared" si="4"/>
        <v>60</v>
      </c>
      <c r="I23" s="97">
        <f t="shared" si="5"/>
        <v>60</v>
      </c>
    </row>
    <row r="24" spans="2:9" x14ac:dyDescent="0.3">
      <c r="B24" s="2">
        <v>21</v>
      </c>
      <c r="C24" s="98">
        <v>60</v>
      </c>
      <c r="D24" s="97">
        <f t="shared" si="0"/>
        <v>60</v>
      </c>
      <c r="E24" s="97">
        <f t="shared" si="1"/>
        <v>60</v>
      </c>
      <c r="F24" s="97">
        <f t="shared" si="2"/>
        <v>60</v>
      </c>
      <c r="G24" s="97">
        <f t="shared" si="3"/>
        <v>60</v>
      </c>
      <c r="H24" s="97">
        <f t="shared" si="4"/>
        <v>60</v>
      </c>
      <c r="I24" s="97">
        <f t="shared" si="5"/>
        <v>60</v>
      </c>
    </row>
    <row r="25" spans="2:9" x14ac:dyDescent="0.3">
      <c r="B25" s="2">
        <v>22</v>
      </c>
      <c r="C25" s="98">
        <v>60</v>
      </c>
      <c r="D25" s="97">
        <f t="shared" ref="D25:D31" si="6">(C24*0.7+C25*0.8)/1.5</f>
        <v>60</v>
      </c>
      <c r="E25" s="97">
        <f t="shared" ref="E25:E31" si="7">(C24*0.9+C25*0.85)/1.75</f>
        <v>60</v>
      </c>
      <c r="F25" s="97">
        <f t="shared" ref="F25:F31" si="8">(C23*0.1+C24+C25*0.9)/2</f>
        <v>60</v>
      </c>
      <c r="G25" s="97">
        <f t="shared" ref="G25:G31" si="9">(C23*0.3+C24+C25*0.95)/2.25</f>
        <v>60</v>
      </c>
      <c r="H25" s="97">
        <f t="shared" ref="H25:H31" si="10">(C23*0.5+C24+C25)/2.5</f>
        <v>60</v>
      </c>
      <c r="I25" s="97">
        <f t="shared" ref="I25:I31" si="11">(C23*0.9+C24+C25+C26*0.1)/3</f>
        <v>60</v>
      </c>
    </row>
    <row r="26" spans="2:9" x14ac:dyDescent="0.3">
      <c r="B26" s="2">
        <v>23</v>
      </c>
      <c r="C26" s="98">
        <v>60</v>
      </c>
      <c r="D26" s="97">
        <f t="shared" si="6"/>
        <v>60</v>
      </c>
      <c r="E26" s="97">
        <f t="shared" si="7"/>
        <v>60</v>
      </c>
      <c r="F26" s="97">
        <f t="shared" si="8"/>
        <v>60</v>
      </c>
      <c r="G26" s="97">
        <f t="shared" si="9"/>
        <v>60</v>
      </c>
      <c r="H26" s="97">
        <f t="shared" si="10"/>
        <v>60</v>
      </c>
      <c r="I26" s="97">
        <f t="shared" si="11"/>
        <v>60</v>
      </c>
    </row>
    <row r="27" spans="2:9" x14ac:dyDescent="0.3">
      <c r="B27" s="2">
        <v>24</v>
      </c>
      <c r="C27" s="98">
        <v>60</v>
      </c>
      <c r="D27" s="97">
        <f t="shared" si="6"/>
        <v>60</v>
      </c>
      <c r="E27" s="97">
        <f t="shared" si="7"/>
        <v>60</v>
      </c>
      <c r="F27" s="97">
        <f t="shared" si="8"/>
        <v>60</v>
      </c>
      <c r="G27" s="97">
        <f t="shared" si="9"/>
        <v>60</v>
      </c>
      <c r="H27" s="97">
        <f t="shared" si="10"/>
        <v>60</v>
      </c>
      <c r="I27" s="97">
        <f t="shared" si="11"/>
        <v>60</v>
      </c>
    </row>
    <row r="28" spans="2:9" x14ac:dyDescent="0.3">
      <c r="B28" s="2">
        <v>25</v>
      </c>
      <c r="C28" s="98">
        <v>60</v>
      </c>
      <c r="D28" s="97">
        <f t="shared" si="6"/>
        <v>60</v>
      </c>
      <c r="E28" s="97">
        <f t="shared" si="7"/>
        <v>60</v>
      </c>
      <c r="F28" s="97">
        <f t="shared" si="8"/>
        <v>60</v>
      </c>
      <c r="G28" s="97">
        <f t="shared" si="9"/>
        <v>60</v>
      </c>
      <c r="H28" s="97">
        <f t="shared" si="10"/>
        <v>60</v>
      </c>
      <c r="I28" s="97">
        <f t="shared" si="11"/>
        <v>58</v>
      </c>
    </row>
    <row r="29" spans="2:9" x14ac:dyDescent="0.3">
      <c r="D29" s="97">
        <f t="shared" si="6"/>
        <v>28</v>
      </c>
      <c r="E29" s="97">
        <f t="shared" si="7"/>
        <v>30.857142857142858</v>
      </c>
      <c r="F29" s="97">
        <f t="shared" si="8"/>
        <v>33</v>
      </c>
      <c r="G29" s="97">
        <f t="shared" si="9"/>
        <v>34.666666666666664</v>
      </c>
      <c r="H29" s="97">
        <f t="shared" si="10"/>
        <v>36</v>
      </c>
      <c r="I29" s="97">
        <f t="shared" si="11"/>
        <v>38</v>
      </c>
    </row>
    <row r="30" spans="2:9" x14ac:dyDescent="0.3">
      <c r="D30" s="97">
        <f t="shared" si="6"/>
        <v>0</v>
      </c>
      <c r="E30" s="97">
        <f t="shared" si="7"/>
        <v>0</v>
      </c>
      <c r="F30" s="97">
        <f t="shared" si="8"/>
        <v>3</v>
      </c>
      <c r="G30" s="97">
        <f t="shared" si="9"/>
        <v>8</v>
      </c>
      <c r="H30" s="97">
        <f t="shared" si="10"/>
        <v>12</v>
      </c>
      <c r="I30" s="97">
        <f t="shared" si="11"/>
        <v>18</v>
      </c>
    </row>
    <row r="31" spans="2:9" x14ac:dyDescent="0.3">
      <c r="D31" s="97">
        <f t="shared" si="6"/>
        <v>0</v>
      </c>
      <c r="E31" s="97">
        <f t="shared" si="7"/>
        <v>0</v>
      </c>
      <c r="F31" s="97">
        <f t="shared" si="8"/>
        <v>0</v>
      </c>
      <c r="G31" s="97">
        <f t="shared" si="9"/>
        <v>0</v>
      </c>
      <c r="H31" s="97">
        <f t="shared" si="10"/>
        <v>0</v>
      </c>
      <c r="I31" s="97">
        <f t="shared" si="11"/>
        <v>0</v>
      </c>
    </row>
  </sheetData>
  <phoneticPr fontId="2"/>
  <pageMargins left="0.75" right="0.75" top="1" bottom="1" header="0.51200000000000001" footer="0.51200000000000001"/>
  <pageSetup paperSize="9" orientation="portrait" r:id="rId1"/>
  <headerFooter alignWithMargins="0">
    <oddFooter>&amp;C&amp;1#&amp;"Calibri"&amp;10&amp;K000000Confidential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2:P163"/>
  <sheetViews>
    <sheetView topLeftCell="A28" workbookViewId="0">
      <selection activeCell="H14" sqref="H14"/>
    </sheetView>
  </sheetViews>
  <sheetFormatPr defaultRowHeight="12.9" x14ac:dyDescent="0.3"/>
  <cols>
    <col min="3" max="3" width="21.734375" customWidth="1"/>
    <col min="4" max="4" width="9" style="94"/>
    <col min="5" max="5" width="9.26171875" style="94" bestFit="1" customWidth="1"/>
    <col min="7" max="8" width="9.26171875" bestFit="1" customWidth="1"/>
    <col min="12" max="13" width="4.734375" customWidth="1"/>
    <col min="15" max="15" width="9" style="94"/>
    <col min="16" max="16" width="22.1015625" customWidth="1"/>
    <col min="20" max="20" width="9.26171875" bestFit="1" customWidth="1"/>
    <col min="21" max="21" width="9.734375" customWidth="1"/>
    <col min="22" max="22" width="10.26171875" bestFit="1" customWidth="1"/>
    <col min="24" max="24" width="9.26171875" bestFit="1" customWidth="1"/>
  </cols>
  <sheetData>
    <row r="2" spans="1:16" x14ac:dyDescent="0.3">
      <c r="K2">
        <v>30107</v>
      </c>
      <c r="L2" s="471">
        <v>300</v>
      </c>
      <c r="M2" s="471" t="s">
        <v>345</v>
      </c>
      <c r="N2">
        <v>7</v>
      </c>
      <c r="O2" s="94">
        <v>41800</v>
      </c>
      <c r="P2" t="s">
        <v>348</v>
      </c>
    </row>
    <row r="3" spans="1:16" x14ac:dyDescent="0.3">
      <c r="A3">
        <v>40210</v>
      </c>
      <c r="B3" t="s">
        <v>328</v>
      </c>
      <c r="C3" t="str">
        <f>VLOOKUP(A3,$K$2:$P$163,6)</f>
        <v>PHC　B種 φ400　L=10ｍ</v>
      </c>
      <c r="D3" s="94">
        <f>VLOOKUP(A3,$K$2:$O$163,5)</f>
        <v>108600</v>
      </c>
      <c r="E3" s="94">
        <f>D3*0.45</f>
        <v>48870</v>
      </c>
      <c r="G3" s="94">
        <f>D3*48</f>
        <v>5212800</v>
      </c>
      <c r="H3" s="94">
        <f>E3*48</f>
        <v>2345760</v>
      </c>
      <c r="K3">
        <v>30108</v>
      </c>
      <c r="L3" s="471"/>
      <c r="M3" s="471"/>
      <c r="N3">
        <v>8</v>
      </c>
      <c r="O3" s="94">
        <v>46600</v>
      </c>
      <c r="P3" t="s">
        <v>349</v>
      </c>
    </row>
    <row r="4" spans="1:16" x14ac:dyDescent="0.3">
      <c r="B4" t="str">
        <f>IF(A4="","","中杭")</f>
        <v/>
      </c>
      <c r="C4" t="str">
        <f>IF(A4="","",VLOOKUP(A4,$K$2:$P$163,6))</f>
        <v/>
      </c>
      <c r="D4" s="94" t="str">
        <f>IF(A4="","",VLOOKUP(A4,$K$2:$O$163,5))</f>
        <v/>
      </c>
      <c r="E4" s="94" t="str">
        <f>IF(A4="","",D4*0.45)</f>
        <v/>
      </c>
      <c r="G4" s="94"/>
      <c r="H4" s="94"/>
      <c r="K4">
        <v>30109</v>
      </c>
      <c r="L4" s="471"/>
      <c r="M4" s="471"/>
      <c r="N4">
        <v>9</v>
      </c>
      <c r="O4" s="94">
        <v>51400</v>
      </c>
      <c r="P4" t="s">
        <v>350</v>
      </c>
    </row>
    <row r="5" spans="1:16" x14ac:dyDescent="0.3">
      <c r="A5">
        <v>40110</v>
      </c>
      <c r="B5" t="s">
        <v>329</v>
      </c>
      <c r="C5" t="str">
        <f>VLOOKUP(A5,$K$2:$P$163,6)</f>
        <v>PHC　A種 φ400　L=10ｍ</v>
      </c>
      <c r="D5" s="94">
        <f>VLOOKUP(A5,$K$2:$O$163,5)</f>
        <v>83700</v>
      </c>
      <c r="E5" s="94">
        <f>D5*0.45</f>
        <v>37665</v>
      </c>
      <c r="G5" s="94">
        <f>D5*48</f>
        <v>4017600</v>
      </c>
      <c r="H5" s="94">
        <f>E5*48</f>
        <v>1807920</v>
      </c>
      <c r="K5">
        <v>30110</v>
      </c>
      <c r="L5" s="471"/>
      <c r="M5" s="471"/>
      <c r="N5">
        <v>10</v>
      </c>
      <c r="O5" s="94">
        <v>56200</v>
      </c>
      <c r="P5" t="s">
        <v>351</v>
      </c>
    </row>
    <row r="6" spans="1:16" x14ac:dyDescent="0.3">
      <c r="D6" s="94">
        <f>SUM(D3:D5)</f>
        <v>192300</v>
      </c>
      <c r="E6" s="94">
        <f>SUM(E3:E5)</f>
        <v>86535</v>
      </c>
      <c r="F6">
        <v>40</v>
      </c>
      <c r="G6" s="94">
        <f>D6*F6</f>
        <v>7692000</v>
      </c>
      <c r="H6" s="94">
        <f>E6*F6</f>
        <v>3461400</v>
      </c>
      <c r="K6">
        <v>30111</v>
      </c>
      <c r="L6" s="471"/>
      <c r="M6" s="471"/>
      <c r="N6">
        <v>11</v>
      </c>
      <c r="O6" s="94">
        <v>61000</v>
      </c>
      <c r="P6" t="s">
        <v>352</v>
      </c>
    </row>
    <row r="7" spans="1:16" x14ac:dyDescent="0.3">
      <c r="H7" s="94"/>
      <c r="K7">
        <v>30112</v>
      </c>
      <c r="L7" s="471"/>
      <c r="M7" s="471"/>
      <c r="N7">
        <v>12</v>
      </c>
      <c r="O7" s="94">
        <v>65800</v>
      </c>
      <c r="P7" t="s">
        <v>353</v>
      </c>
    </row>
    <row r="8" spans="1:16" x14ac:dyDescent="0.3">
      <c r="A8">
        <v>35210</v>
      </c>
      <c r="B8" t="s">
        <v>328</v>
      </c>
      <c r="C8" t="str">
        <f>VLOOKUP(A8,$K$2:$P$163,6)</f>
        <v>PHC　B種 φ350　L=10ｍ</v>
      </c>
      <c r="D8" s="94">
        <f>VLOOKUP(A8,$K$2:$O$163,5)</f>
        <v>85900</v>
      </c>
      <c r="E8" s="94">
        <f>D8*0.45</f>
        <v>38655</v>
      </c>
      <c r="F8" s="94"/>
      <c r="H8" s="94"/>
      <c r="K8">
        <v>30113</v>
      </c>
      <c r="L8" s="471"/>
      <c r="M8" s="471"/>
      <c r="N8">
        <v>13</v>
      </c>
      <c r="O8" s="94">
        <v>70600</v>
      </c>
      <c r="P8" t="s">
        <v>354</v>
      </c>
    </row>
    <row r="9" spans="1:16" x14ac:dyDescent="0.3">
      <c r="B9" t="str">
        <f>IF(A9="","","中杭")</f>
        <v/>
      </c>
      <c r="C9" t="str">
        <f>IF(A9="","",VLOOKUP(A9,$K$2:$P$163,6))</f>
        <v/>
      </c>
      <c r="D9" s="94" t="str">
        <f>IF(A9="","",VLOOKUP(A9,$K$2:$O$163,5))</f>
        <v/>
      </c>
      <c r="E9" s="94" t="str">
        <f>IF(A9="","",D9*0.45)</f>
        <v/>
      </c>
      <c r="H9" s="94"/>
      <c r="K9">
        <v>30114</v>
      </c>
      <c r="L9" s="471"/>
      <c r="M9" s="471"/>
      <c r="N9">
        <v>14</v>
      </c>
    </row>
    <row r="10" spans="1:16" x14ac:dyDescent="0.3">
      <c r="A10">
        <v>35110</v>
      </c>
      <c r="B10" t="s">
        <v>329</v>
      </c>
      <c r="C10" t="str">
        <f>VLOOKUP(A10,$K$2:$P$163,6)</f>
        <v>PHC　A種 φ350　L=10ｍ</v>
      </c>
      <c r="D10" s="94">
        <f>VLOOKUP(A10,$K$2:$O$163,5)</f>
        <v>67200</v>
      </c>
      <c r="E10" s="94">
        <f>D10*0.45</f>
        <v>30240</v>
      </c>
      <c r="F10" s="94"/>
      <c r="H10" s="94"/>
      <c r="K10">
        <v>30115</v>
      </c>
      <c r="L10" s="471"/>
      <c r="M10" s="471"/>
      <c r="N10">
        <v>15</v>
      </c>
    </row>
    <row r="11" spans="1:16" x14ac:dyDescent="0.3">
      <c r="D11" s="94">
        <f>SUM(D8:D10)</f>
        <v>153100</v>
      </c>
      <c r="E11" s="94">
        <f>SUM(E8:E10)</f>
        <v>68895</v>
      </c>
      <c r="F11" s="94">
        <v>46</v>
      </c>
      <c r="G11">
        <f>D11*F11</f>
        <v>7042600</v>
      </c>
      <c r="H11" s="94">
        <f>E11*F11</f>
        <v>3169170</v>
      </c>
      <c r="K11">
        <v>30207</v>
      </c>
      <c r="L11" s="471"/>
      <c r="M11" s="471" t="s">
        <v>346</v>
      </c>
      <c r="N11">
        <v>7</v>
      </c>
      <c r="O11" s="94">
        <v>55500</v>
      </c>
      <c r="P11" t="s">
        <v>355</v>
      </c>
    </row>
    <row r="12" spans="1:16" x14ac:dyDescent="0.3">
      <c r="H12" s="94"/>
      <c r="K12">
        <v>30208</v>
      </c>
      <c r="L12" s="471"/>
      <c r="M12" s="471"/>
      <c r="N12">
        <v>8</v>
      </c>
      <c r="O12" s="94">
        <v>60700</v>
      </c>
      <c r="P12" t="s">
        <v>356</v>
      </c>
    </row>
    <row r="13" spans="1:16" x14ac:dyDescent="0.3">
      <c r="A13">
        <v>30210</v>
      </c>
      <c r="B13" t="s">
        <v>328</v>
      </c>
      <c r="C13" t="str">
        <f>VLOOKUP(A13,$K$2:$P$163,6)</f>
        <v>PHC　B種 φ300　L=10ｍ</v>
      </c>
      <c r="D13" s="94">
        <f>VLOOKUP(A13,$K$2:$O$163,5)</f>
        <v>71100</v>
      </c>
      <c r="E13" s="94">
        <f>D13*0.45</f>
        <v>31995</v>
      </c>
      <c r="F13" s="94"/>
      <c r="H13" s="94"/>
      <c r="K13">
        <v>30209</v>
      </c>
      <c r="L13" s="471"/>
      <c r="M13" s="471"/>
      <c r="N13">
        <v>9</v>
      </c>
      <c r="O13" s="94">
        <v>65900</v>
      </c>
      <c r="P13" t="s">
        <v>357</v>
      </c>
    </row>
    <row r="14" spans="1:16" x14ac:dyDescent="0.3">
      <c r="B14" t="str">
        <f>IF(A14="","","中杭")</f>
        <v/>
      </c>
      <c r="C14" t="str">
        <f>IF(A14="","",VLOOKUP(A14,$K$2:$P$163,6))</f>
        <v/>
      </c>
      <c r="D14" s="94" t="str">
        <f>IF(A14="","",VLOOKUP(A14,$K$2:$O$163,5))</f>
        <v/>
      </c>
      <c r="E14" s="94" t="str">
        <f>IF(A14="","",D14*0.45)</f>
        <v/>
      </c>
      <c r="H14" s="94"/>
      <c r="K14">
        <v>30210</v>
      </c>
      <c r="L14" s="471"/>
      <c r="M14" s="471"/>
      <c r="N14">
        <v>10</v>
      </c>
      <c r="O14" s="94">
        <v>71100</v>
      </c>
      <c r="P14" t="s">
        <v>358</v>
      </c>
    </row>
    <row r="15" spans="1:16" x14ac:dyDescent="0.3">
      <c r="A15">
        <v>30110</v>
      </c>
      <c r="B15" t="s">
        <v>329</v>
      </c>
      <c r="C15" t="str">
        <f>VLOOKUP(A15,$K$2:$P$163,6)</f>
        <v>PHC　A種 φ300　L=10ｍ</v>
      </c>
      <c r="D15" s="94">
        <f>VLOOKUP(A15,$K$2:$O$163,5)</f>
        <v>56200</v>
      </c>
      <c r="E15" s="94">
        <f>D15*0.45</f>
        <v>25290</v>
      </c>
      <c r="F15" s="94"/>
      <c r="H15" s="94"/>
      <c r="K15">
        <v>30211</v>
      </c>
      <c r="L15" s="471"/>
      <c r="M15" s="471"/>
      <c r="N15">
        <v>11</v>
      </c>
      <c r="O15" s="94">
        <v>76300</v>
      </c>
      <c r="P15" t="s">
        <v>359</v>
      </c>
    </row>
    <row r="16" spans="1:16" x14ac:dyDescent="0.3">
      <c r="D16" s="94">
        <f>SUM(D13:D15)</f>
        <v>127300</v>
      </c>
      <c r="E16" s="94">
        <f>SUM(E13:E15)</f>
        <v>57285</v>
      </c>
      <c r="F16" s="94">
        <v>56</v>
      </c>
      <c r="G16">
        <f>D16*F16</f>
        <v>7128800</v>
      </c>
      <c r="H16" s="94">
        <f>E16*F16</f>
        <v>3207960</v>
      </c>
      <c r="K16">
        <v>30212</v>
      </c>
      <c r="L16" s="471"/>
      <c r="M16" s="471"/>
      <c r="N16">
        <v>12</v>
      </c>
      <c r="O16" s="94">
        <v>81500</v>
      </c>
      <c r="P16" t="s">
        <v>360</v>
      </c>
    </row>
    <row r="17" spans="6:16" x14ac:dyDescent="0.3">
      <c r="F17" s="94"/>
      <c r="K17">
        <v>30213</v>
      </c>
      <c r="L17" s="471"/>
      <c r="M17" s="471"/>
      <c r="N17">
        <v>13</v>
      </c>
      <c r="O17" s="94">
        <v>86700</v>
      </c>
      <c r="P17" t="s">
        <v>361</v>
      </c>
    </row>
    <row r="18" spans="6:16" x14ac:dyDescent="0.3">
      <c r="K18">
        <v>30214</v>
      </c>
      <c r="L18" s="471"/>
      <c r="M18" s="471"/>
      <c r="N18">
        <v>14</v>
      </c>
      <c r="O18" s="94">
        <v>91000</v>
      </c>
      <c r="P18" t="s">
        <v>362</v>
      </c>
    </row>
    <row r="19" spans="6:16" x14ac:dyDescent="0.3">
      <c r="K19">
        <v>30215</v>
      </c>
      <c r="L19" s="471"/>
      <c r="M19" s="471"/>
      <c r="N19">
        <v>15</v>
      </c>
      <c r="O19" s="94">
        <v>97100</v>
      </c>
      <c r="P19" t="s">
        <v>363</v>
      </c>
    </row>
    <row r="20" spans="6:16" x14ac:dyDescent="0.3">
      <c r="K20">
        <v>30307</v>
      </c>
      <c r="L20" s="471"/>
      <c r="M20" s="471" t="s">
        <v>347</v>
      </c>
      <c r="N20">
        <v>7</v>
      </c>
      <c r="O20" s="94">
        <v>61200</v>
      </c>
      <c r="P20" t="s">
        <v>364</v>
      </c>
    </row>
    <row r="21" spans="6:16" x14ac:dyDescent="0.3">
      <c r="K21">
        <v>30308</v>
      </c>
      <c r="L21" s="471"/>
      <c r="M21" s="471"/>
      <c r="N21">
        <v>8</v>
      </c>
      <c r="O21" s="94">
        <v>66700</v>
      </c>
      <c r="P21" t="s">
        <v>365</v>
      </c>
    </row>
    <row r="22" spans="6:16" x14ac:dyDescent="0.3">
      <c r="K22">
        <v>30309</v>
      </c>
      <c r="L22" s="471"/>
      <c r="M22" s="471"/>
      <c r="N22">
        <v>9</v>
      </c>
      <c r="O22" s="94">
        <v>72200</v>
      </c>
      <c r="P22" t="s">
        <v>366</v>
      </c>
    </row>
    <row r="23" spans="6:16" x14ac:dyDescent="0.3">
      <c r="F23" s="94"/>
      <c r="K23">
        <v>30310</v>
      </c>
      <c r="L23" s="471"/>
      <c r="M23" s="471"/>
      <c r="N23">
        <v>10</v>
      </c>
      <c r="O23" s="94">
        <v>77700</v>
      </c>
      <c r="P23" t="s">
        <v>367</v>
      </c>
    </row>
    <row r="24" spans="6:16" x14ac:dyDescent="0.3">
      <c r="F24" s="94"/>
      <c r="K24">
        <v>30311</v>
      </c>
      <c r="L24" s="471"/>
      <c r="M24" s="471"/>
      <c r="N24">
        <v>11</v>
      </c>
      <c r="O24" s="94">
        <v>83200</v>
      </c>
      <c r="P24" t="s">
        <v>368</v>
      </c>
    </row>
    <row r="25" spans="6:16" x14ac:dyDescent="0.3">
      <c r="F25" s="94"/>
      <c r="K25">
        <v>30312</v>
      </c>
      <c r="L25" s="471"/>
      <c r="M25" s="471"/>
      <c r="N25">
        <v>12</v>
      </c>
      <c r="O25" s="94">
        <v>88700</v>
      </c>
      <c r="P25" t="s">
        <v>369</v>
      </c>
    </row>
    <row r="26" spans="6:16" x14ac:dyDescent="0.3">
      <c r="K26">
        <v>30313</v>
      </c>
      <c r="L26" s="471"/>
      <c r="M26" s="471"/>
      <c r="N26">
        <v>13</v>
      </c>
      <c r="O26" s="94">
        <v>94200</v>
      </c>
      <c r="P26" t="s">
        <v>370</v>
      </c>
    </row>
    <row r="27" spans="6:16" x14ac:dyDescent="0.3">
      <c r="K27">
        <v>30314</v>
      </c>
      <c r="L27" s="471"/>
      <c r="M27" s="471"/>
      <c r="N27">
        <v>14</v>
      </c>
      <c r="O27" s="94">
        <v>99700</v>
      </c>
      <c r="P27" t="s">
        <v>371</v>
      </c>
    </row>
    <row r="28" spans="6:16" x14ac:dyDescent="0.3">
      <c r="F28" s="94"/>
      <c r="G28" s="94"/>
      <c r="K28">
        <v>30315</v>
      </c>
      <c r="L28" s="471"/>
      <c r="M28" s="471"/>
      <c r="N28">
        <v>15</v>
      </c>
      <c r="O28" s="94">
        <v>105200</v>
      </c>
      <c r="P28" t="s">
        <v>372</v>
      </c>
    </row>
    <row r="29" spans="6:16" x14ac:dyDescent="0.3">
      <c r="F29" s="94"/>
      <c r="G29" s="94"/>
      <c r="K29">
        <v>35107</v>
      </c>
      <c r="L29" s="471">
        <v>350</v>
      </c>
      <c r="M29" s="471" t="s">
        <v>345</v>
      </c>
      <c r="N29">
        <v>7</v>
      </c>
      <c r="O29" s="94">
        <v>51000</v>
      </c>
      <c r="P29" t="s">
        <v>373</v>
      </c>
    </row>
    <row r="30" spans="6:16" x14ac:dyDescent="0.3">
      <c r="F30" s="94"/>
      <c r="G30" s="95"/>
      <c r="K30">
        <v>35108</v>
      </c>
      <c r="L30" s="471"/>
      <c r="M30" s="471"/>
      <c r="N30">
        <v>8</v>
      </c>
      <c r="O30" s="94">
        <v>56400</v>
      </c>
      <c r="P30" t="s">
        <v>374</v>
      </c>
    </row>
    <row r="31" spans="6:16" x14ac:dyDescent="0.3">
      <c r="G31" s="94"/>
      <c r="K31">
        <v>35109</v>
      </c>
      <c r="L31" s="471"/>
      <c r="M31" s="471"/>
      <c r="N31">
        <v>9</v>
      </c>
      <c r="O31" s="94">
        <v>61800</v>
      </c>
      <c r="P31" t="s">
        <v>375</v>
      </c>
    </row>
    <row r="32" spans="6:16" x14ac:dyDescent="0.3">
      <c r="G32" s="95"/>
      <c r="I32" s="95"/>
      <c r="K32">
        <v>35110</v>
      </c>
      <c r="L32" s="471"/>
      <c r="M32" s="471"/>
      <c r="N32">
        <v>10</v>
      </c>
      <c r="O32" s="94">
        <v>67200</v>
      </c>
      <c r="P32" t="s">
        <v>376</v>
      </c>
    </row>
    <row r="33" spans="7:16" x14ac:dyDescent="0.3">
      <c r="K33">
        <v>35111</v>
      </c>
      <c r="L33" s="471"/>
      <c r="M33" s="471"/>
      <c r="N33">
        <v>11</v>
      </c>
      <c r="O33" s="94">
        <v>72600</v>
      </c>
      <c r="P33" t="s">
        <v>377</v>
      </c>
    </row>
    <row r="34" spans="7:16" x14ac:dyDescent="0.3">
      <c r="G34" s="95"/>
      <c r="H34" s="94"/>
      <c r="K34">
        <v>35112</v>
      </c>
      <c r="L34" s="471"/>
      <c r="M34" s="471"/>
      <c r="N34">
        <v>12</v>
      </c>
      <c r="O34" s="94">
        <v>78000</v>
      </c>
      <c r="P34" t="s">
        <v>378</v>
      </c>
    </row>
    <row r="35" spans="7:16" x14ac:dyDescent="0.3">
      <c r="K35">
        <v>35113</v>
      </c>
      <c r="L35" s="471"/>
      <c r="M35" s="471"/>
      <c r="N35">
        <v>13</v>
      </c>
      <c r="O35" s="94">
        <v>83400</v>
      </c>
      <c r="P35" t="s">
        <v>379</v>
      </c>
    </row>
    <row r="36" spans="7:16" x14ac:dyDescent="0.3">
      <c r="K36">
        <v>35114</v>
      </c>
      <c r="L36" s="471"/>
      <c r="M36" s="471"/>
      <c r="N36">
        <v>14</v>
      </c>
    </row>
    <row r="37" spans="7:16" x14ac:dyDescent="0.3">
      <c r="K37">
        <v>35115</v>
      </c>
      <c r="L37" s="471"/>
      <c r="M37" s="471"/>
      <c r="N37">
        <v>15</v>
      </c>
    </row>
    <row r="38" spans="7:16" x14ac:dyDescent="0.3">
      <c r="K38">
        <v>35207</v>
      </c>
      <c r="L38" s="471"/>
      <c r="M38" s="471" t="s">
        <v>346</v>
      </c>
      <c r="N38">
        <v>7</v>
      </c>
      <c r="O38" s="94">
        <v>66100</v>
      </c>
      <c r="P38" t="s">
        <v>380</v>
      </c>
    </row>
    <row r="39" spans="7:16" x14ac:dyDescent="0.3">
      <c r="K39">
        <v>35208</v>
      </c>
      <c r="L39" s="471"/>
      <c r="M39" s="471"/>
      <c r="N39">
        <v>8</v>
      </c>
      <c r="O39" s="94">
        <v>72700</v>
      </c>
      <c r="P39" t="s">
        <v>381</v>
      </c>
    </row>
    <row r="40" spans="7:16" x14ac:dyDescent="0.3">
      <c r="K40">
        <v>35209</v>
      </c>
      <c r="L40" s="471"/>
      <c r="M40" s="471"/>
      <c r="N40">
        <v>9</v>
      </c>
      <c r="O40" s="94">
        <v>79300</v>
      </c>
      <c r="P40" t="s">
        <v>382</v>
      </c>
    </row>
    <row r="41" spans="7:16" x14ac:dyDescent="0.3">
      <c r="K41">
        <v>35210</v>
      </c>
      <c r="L41" s="471"/>
      <c r="M41" s="471"/>
      <c r="N41">
        <v>10</v>
      </c>
      <c r="O41" s="94">
        <v>85900</v>
      </c>
      <c r="P41" t="s">
        <v>383</v>
      </c>
    </row>
    <row r="42" spans="7:16" x14ac:dyDescent="0.3">
      <c r="K42">
        <v>35211</v>
      </c>
      <c r="L42" s="471"/>
      <c r="M42" s="471"/>
      <c r="N42">
        <v>11</v>
      </c>
      <c r="O42" s="94">
        <v>92500</v>
      </c>
      <c r="P42" t="s">
        <v>384</v>
      </c>
    </row>
    <row r="43" spans="7:16" x14ac:dyDescent="0.3">
      <c r="K43">
        <v>35212</v>
      </c>
      <c r="L43" s="471"/>
      <c r="M43" s="471"/>
      <c r="N43">
        <v>12</v>
      </c>
      <c r="O43" s="94">
        <v>99100</v>
      </c>
      <c r="P43" t="s">
        <v>385</v>
      </c>
    </row>
    <row r="44" spans="7:16" x14ac:dyDescent="0.3">
      <c r="K44">
        <v>35213</v>
      </c>
      <c r="L44" s="471"/>
      <c r="M44" s="471"/>
      <c r="N44">
        <v>13</v>
      </c>
      <c r="O44" s="94">
        <v>105700</v>
      </c>
      <c r="P44" t="s">
        <v>386</v>
      </c>
    </row>
    <row r="45" spans="7:16" x14ac:dyDescent="0.3">
      <c r="K45">
        <v>35214</v>
      </c>
      <c r="L45" s="471"/>
      <c r="M45" s="471"/>
      <c r="N45">
        <v>14</v>
      </c>
      <c r="O45" s="94">
        <v>112300</v>
      </c>
      <c r="P45" t="s">
        <v>387</v>
      </c>
    </row>
    <row r="46" spans="7:16" x14ac:dyDescent="0.3">
      <c r="K46">
        <v>35215</v>
      </c>
      <c r="L46" s="471"/>
      <c r="M46" s="471"/>
      <c r="N46">
        <v>15</v>
      </c>
      <c r="O46" s="94">
        <v>116900</v>
      </c>
      <c r="P46" t="s">
        <v>388</v>
      </c>
    </row>
    <row r="47" spans="7:16" x14ac:dyDescent="0.3">
      <c r="K47">
        <v>35307</v>
      </c>
      <c r="L47" s="471"/>
      <c r="M47" s="471" t="s">
        <v>347</v>
      </c>
      <c r="N47">
        <v>7</v>
      </c>
      <c r="O47" s="94">
        <v>73300</v>
      </c>
      <c r="P47" t="s">
        <v>389</v>
      </c>
    </row>
    <row r="48" spans="7:16" x14ac:dyDescent="0.3">
      <c r="K48">
        <v>35308</v>
      </c>
      <c r="L48" s="471"/>
      <c r="M48" s="471"/>
      <c r="N48">
        <v>8</v>
      </c>
      <c r="O48" s="94">
        <v>80300</v>
      </c>
      <c r="P48" t="s">
        <v>390</v>
      </c>
    </row>
    <row r="49" spans="11:16" x14ac:dyDescent="0.3">
      <c r="K49">
        <v>35309</v>
      </c>
      <c r="L49" s="471"/>
      <c r="M49" s="471"/>
      <c r="N49">
        <v>9</v>
      </c>
      <c r="O49" s="94">
        <v>87300</v>
      </c>
      <c r="P49" t="s">
        <v>391</v>
      </c>
    </row>
    <row r="50" spans="11:16" x14ac:dyDescent="0.3">
      <c r="K50">
        <v>35310</v>
      </c>
      <c r="L50" s="471"/>
      <c r="M50" s="471"/>
      <c r="N50">
        <v>10</v>
      </c>
      <c r="O50" s="94">
        <v>94300</v>
      </c>
      <c r="P50" t="s">
        <v>392</v>
      </c>
    </row>
    <row r="51" spans="11:16" x14ac:dyDescent="0.3">
      <c r="K51">
        <v>35311</v>
      </c>
      <c r="L51" s="471"/>
      <c r="M51" s="471"/>
      <c r="N51">
        <v>11</v>
      </c>
      <c r="O51" s="94">
        <v>101300</v>
      </c>
      <c r="P51" t="s">
        <v>393</v>
      </c>
    </row>
    <row r="52" spans="11:16" x14ac:dyDescent="0.3">
      <c r="K52">
        <v>35312</v>
      </c>
      <c r="L52" s="471"/>
      <c r="M52" s="471"/>
      <c r="N52">
        <v>12</v>
      </c>
      <c r="O52" s="94">
        <v>108300</v>
      </c>
      <c r="P52" t="s">
        <v>394</v>
      </c>
    </row>
    <row r="53" spans="11:16" x14ac:dyDescent="0.3">
      <c r="K53">
        <v>35313</v>
      </c>
      <c r="L53" s="471"/>
      <c r="M53" s="471"/>
      <c r="N53">
        <v>13</v>
      </c>
      <c r="O53" s="94">
        <v>115300</v>
      </c>
      <c r="P53" t="s">
        <v>395</v>
      </c>
    </row>
    <row r="54" spans="11:16" x14ac:dyDescent="0.3">
      <c r="K54">
        <v>35314</v>
      </c>
      <c r="L54" s="471"/>
      <c r="M54" s="471"/>
      <c r="N54">
        <v>14</v>
      </c>
      <c r="O54" s="94">
        <v>122300</v>
      </c>
      <c r="P54" t="s">
        <v>396</v>
      </c>
    </row>
    <row r="55" spans="11:16" x14ac:dyDescent="0.3">
      <c r="K55">
        <v>35315</v>
      </c>
      <c r="L55" s="471"/>
      <c r="M55" s="471"/>
      <c r="N55">
        <v>15</v>
      </c>
      <c r="O55" s="94">
        <v>120300</v>
      </c>
      <c r="P55" t="s">
        <v>397</v>
      </c>
    </row>
    <row r="56" spans="11:16" x14ac:dyDescent="0.3">
      <c r="K56">
        <v>40107</v>
      </c>
      <c r="L56" s="471">
        <v>400</v>
      </c>
      <c r="M56" s="471" t="s">
        <v>345</v>
      </c>
      <c r="N56">
        <v>7</v>
      </c>
      <c r="O56" s="94">
        <v>63300</v>
      </c>
      <c r="P56" t="s">
        <v>398</v>
      </c>
    </row>
    <row r="57" spans="11:16" x14ac:dyDescent="0.3">
      <c r="K57">
        <v>40108</v>
      </c>
      <c r="L57" s="471"/>
      <c r="M57" s="471"/>
      <c r="N57">
        <v>8</v>
      </c>
      <c r="O57" s="94">
        <v>70100</v>
      </c>
      <c r="P57" t="s">
        <v>399</v>
      </c>
    </row>
    <row r="58" spans="11:16" x14ac:dyDescent="0.3">
      <c r="K58">
        <v>40109</v>
      </c>
      <c r="L58" s="471"/>
      <c r="M58" s="471"/>
      <c r="N58">
        <v>9</v>
      </c>
      <c r="O58" s="94">
        <v>76900</v>
      </c>
      <c r="P58" t="s">
        <v>400</v>
      </c>
    </row>
    <row r="59" spans="11:16" x14ac:dyDescent="0.3">
      <c r="K59">
        <v>40110</v>
      </c>
      <c r="L59" s="471"/>
      <c r="M59" s="471"/>
      <c r="N59">
        <v>10</v>
      </c>
      <c r="O59" s="94">
        <v>83700</v>
      </c>
      <c r="P59" t="s">
        <v>401</v>
      </c>
    </row>
    <row r="60" spans="11:16" x14ac:dyDescent="0.3">
      <c r="K60">
        <v>40111</v>
      </c>
      <c r="L60" s="471"/>
      <c r="M60" s="471"/>
      <c r="N60">
        <v>11</v>
      </c>
      <c r="O60" s="94">
        <v>90500</v>
      </c>
      <c r="P60" t="s">
        <v>402</v>
      </c>
    </row>
    <row r="61" spans="11:16" x14ac:dyDescent="0.3">
      <c r="K61">
        <v>40112</v>
      </c>
      <c r="L61" s="471"/>
      <c r="M61" s="471"/>
      <c r="N61">
        <v>12</v>
      </c>
      <c r="O61" s="94">
        <v>97300</v>
      </c>
      <c r="P61" t="s">
        <v>403</v>
      </c>
    </row>
    <row r="62" spans="11:16" x14ac:dyDescent="0.3">
      <c r="K62">
        <v>40113</v>
      </c>
      <c r="L62" s="471"/>
      <c r="M62" s="471"/>
      <c r="N62">
        <v>13</v>
      </c>
      <c r="O62" s="94">
        <v>104100</v>
      </c>
      <c r="P62" t="s">
        <v>404</v>
      </c>
    </row>
    <row r="63" spans="11:16" x14ac:dyDescent="0.3">
      <c r="K63">
        <v>40114</v>
      </c>
      <c r="L63" s="471"/>
      <c r="M63" s="471"/>
      <c r="N63">
        <v>14</v>
      </c>
      <c r="O63" s="94">
        <v>110900</v>
      </c>
      <c r="P63" t="s">
        <v>405</v>
      </c>
    </row>
    <row r="64" spans="11:16" x14ac:dyDescent="0.3">
      <c r="K64">
        <v>40115</v>
      </c>
      <c r="L64" s="471"/>
      <c r="M64" s="471"/>
      <c r="N64">
        <v>15</v>
      </c>
      <c r="O64" s="94">
        <v>117700</v>
      </c>
      <c r="P64" t="s">
        <v>406</v>
      </c>
    </row>
    <row r="65" spans="11:16" x14ac:dyDescent="0.3">
      <c r="K65">
        <v>40207</v>
      </c>
      <c r="L65" s="471"/>
      <c r="M65" s="471" t="s">
        <v>346</v>
      </c>
      <c r="N65">
        <v>7</v>
      </c>
      <c r="O65" s="94">
        <v>84600</v>
      </c>
      <c r="P65" t="s">
        <v>407</v>
      </c>
    </row>
    <row r="66" spans="11:16" x14ac:dyDescent="0.3">
      <c r="K66">
        <v>40208</v>
      </c>
      <c r="L66" s="471"/>
      <c r="M66" s="471"/>
      <c r="N66">
        <v>8</v>
      </c>
      <c r="O66" s="94">
        <v>92600</v>
      </c>
      <c r="P66" t="s">
        <v>408</v>
      </c>
    </row>
    <row r="67" spans="11:16" x14ac:dyDescent="0.3">
      <c r="K67">
        <v>40209</v>
      </c>
      <c r="L67" s="471"/>
      <c r="M67" s="471"/>
      <c r="N67">
        <v>9</v>
      </c>
      <c r="O67" s="94">
        <v>100600</v>
      </c>
      <c r="P67" t="s">
        <v>409</v>
      </c>
    </row>
    <row r="68" spans="11:16" x14ac:dyDescent="0.3">
      <c r="K68">
        <v>40210</v>
      </c>
      <c r="L68" s="471"/>
      <c r="M68" s="471"/>
      <c r="N68">
        <v>10</v>
      </c>
      <c r="O68" s="94">
        <v>108600</v>
      </c>
      <c r="P68" t="s">
        <v>410</v>
      </c>
    </row>
    <row r="69" spans="11:16" x14ac:dyDescent="0.3">
      <c r="K69">
        <v>40211</v>
      </c>
      <c r="L69" s="471"/>
      <c r="M69" s="471"/>
      <c r="N69">
        <v>11</v>
      </c>
      <c r="O69" s="94">
        <v>116600</v>
      </c>
      <c r="P69" t="s">
        <v>411</v>
      </c>
    </row>
    <row r="70" spans="11:16" x14ac:dyDescent="0.3">
      <c r="K70">
        <v>40212</v>
      </c>
      <c r="L70" s="471"/>
      <c r="M70" s="471"/>
      <c r="N70">
        <v>12</v>
      </c>
      <c r="O70" s="94">
        <v>124600</v>
      </c>
      <c r="P70" t="s">
        <v>412</v>
      </c>
    </row>
    <row r="71" spans="11:16" x14ac:dyDescent="0.3">
      <c r="K71">
        <v>40213</v>
      </c>
      <c r="L71" s="471"/>
      <c r="M71" s="471"/>
      <c r="N71">
        <v>13</v>
      </c>
      <c r="O71" s="94">
        <v>132600</v>
      </c>
      <c r="P71" t="s">
        <v>413</v>
      </c>
    </row>
    <row r="72" spans="11:16" x14ac:dyDescent="0.3">
      <c r="K72">
        <v>40214</v>
      </c>
      <c r="L72" s="471"/>
      <c r="M72" s="471"/>
      <c r="N72">
        <v>14</v>
      </c>
      <c r="O72" s="94">
        <v>140600</v>
      </c>
      <c r="P72" t="s">
        <v>414</v>
      </c>
    </row>
    <row r="73" spans="11:16" x14ac:dyDescent="0.3">
      <c r="K73">
        <v>40215</v>
      </c>
      <c r="L73" s="471"/>
      <c r="M73" s="471"/>
      <c r="N73">
        <v>15</v>
      </c>
      <c r="O73" s="94">
        <v>148600</v>
      </c>
      <c r="P73" t="s">
        <v>415</v>
      </c>
    </row>
    <row r="74" spans="11:16" x14ac:dyDescent="0.3">
      <c r="K74">
        <v>40307</v>
      </c>
      <c r="L74" s="471"/>
      <c r="M74" s="471" t="s">
        <v>347</v>
      </c>
      <c r="N74">
        <v>7</v>
      </c>
      <c r="O74" s="94">
        <v>92600</v>
      </c>
      <c r="P74" t="s">
        <v>416</v>
      </c>
    </row>
    <row r="75" spans="11:16" x14ac:dyDescent="0.3">
      <c r="K75">
        <v>40308</v>
      </c>
      <c r="L75" s="471"/>
      <c r="M75" s="471"/>
      <c r="N75">
        <v>8</v>
      </c>
      <c r="O75" s="94">
        <v>101200</v>
      </c>
      <c r="P75" t="s">
        <v>417</v>
      </c>
    </row>
    <row r="76" spans="11:16" x14ac:dyDescent="0.3">
      <c r="K76">
        <v>40309</v>
      </c>
      <c r="L76" s="471"/>
      <c r="M76" s="471"/>
      <c r="N76">
        <v>9</v>
      </c>
      <c r="O76" s="94">
        <v>109800</v>
      </c>
      <c r="P76" t="s">
        <v>418</v>
      </c>
    </row>
    <row r="77" spans="11:16" x14ac:dyDescent="0.3">
      <c r="K77">
        <v>40310</v>
      </c>
      <c r="L77" s="471"/>
      <c r="M77" s="471"/>
      <c r="N77">
        <v>10</v>
      </c>
      <c r="O77" s="94">
        <v>118400</v>
      </c>
      <c r="P77" t="s">
        <v>419</v>
      </c>
    </row>
    <row r="78" spans="11:16" x14ac:dyDescent="0.3">
      <c r="K78">
        <v>40311</v>
      </c>
      <c r="L78" s="471"/>
      <c r="M78" s="471"/>
      <c r="N78">
        <v>11</v>
      </c>
      <c r="O78" s="94">
        <v>127000</v>
      </c>
      <c r="P78" t="s">
        <v>420</v>
      </c>
    </row>
    <row r="79" spans="11:16" x14ac:dyDescent="0.3">
      <c r="K79">
        <v>40312</v>
      </c>
      <c r="L79" s="471"/>
      <c r="M79" s="471"/>
      <c r="N79">
        <v>12</v>
      </c>
      <c r="O79" s="94">
        <v>135600</v>
      </c>
      <c r="P79" t="s">
        <v>421</v>
      </c>
    </row>
    <row r="80" spans="11:16" x14ac:dyDescent="0.3">
      <c r="K80">
        <v>40313</v>
      </c>
      <c r="L80" s="471"/>
      <c r="M80" s="471"/>
      <c r="N80">
        <v>13</v>
      </c>
      <c r="O80" s="94">
        <v>144200</v>
      </c>
      <c r="P80" t="s">
        <v>422</v>
      </c>
    </row>
    <row r="81" spans="11:16" x14ac:dyDescent="0.3">
      <c r="K81">
        <v>40314</v>
      </c>
      <c r="L81" s="471"/>
      <c r="M81" s="471"/>
      <c r="N81">
        <v>14</v>
      </c>
      <c r="O81" s="94">
        <v>152800</v>
      </c>
      <c r="P81" t="s">
        <v>423</v>
      </c>
    </row>
    <row r="82" spans="11:16" x14ac:dyDescent="0.3">
      <c r="K82">
        <v>40315</v>
      </c>
      <c r="L82" s="471"/>
      <c r="M82" s="471"/>
      <c r="N82">
        <v>15</v>
      </c>
      <c r="O82" s="94">
        <v>161400</v>
      </c>
      <c r="P82" t="s">
        <v>424</v>
      </c>
    </row>
    <row r="83" spans="11:16" x14ac:dyDescent="0.3">
      <c r="K83">
        <v>45107</v>
      </c>
      <c r="L83" s="471">
        <v>450</v>
      </c>
      <c r="M83" s="471" t="s">
        <v>345</v>
      </c>
      <c r="N83">
        <v>7</v>
      </c>
      <c r="O83" s="94">
        <v>75800</v>
      </c>
      <c r="P83" t="s">
        <v>425</v>
      </c>
    </row>
    <row r="84" spans="11:16" x14ac:dyDescent="0.3">
      <c r="K84">
        <v>45108</v>
      </c>
      <c r="L84" s="471"/>
      <c r="M84" s="471"/>
      <c r="N84">
        <v>8</v>
      </c>
      <c r="O84" s="94">
        <v>83900</v>
      </c>
      <c r="P84" t="s">
        <v>426</v>
      </c>
    </row>
    <row r="85" spans="11:16" x14ac:dyDescent="0.3">
      <c r="K85">
        <v>45109</v>
      </c>
      <c r="L85" s="471"/>
      <c r="M85" s="471"/>
      <c r="N85">
        <v>9</v>
      </c>
      <c r="O85" s="94">
        <v>92000</v>
      </c>
      <c r="P85" t="s">
        <v>427</v>
      </c>
    </row>
    <row r="86" spans="11:16" x14ac:dyDescent="0.3">
      <c r="K86">
        <v>45110</v>
      </c>
      <c r="L86" s="471"/>
      <c r="M86" s="471"/>
      <c r="N86">
        <v>10</v>
      </c>
      <c r="O86" s="94">
        <v>100100</v>
      </c>
      <c r="P86" t="s">
        <v>428</v>
      </c>
    </row>
    <row r="87" spans="11:16" x14ac:dyDescent="0.3">
      <c r="K87">
        <v>45111</v>
      </c>
      <c r="L87" s="471"/>
      <c r="M87" s="471"/>
      <c r="N87">
        <v>11</v>
      </c>
      <c r="O87" s="94">
        <v>108200</v>
      </c>
      <c r="P87" t="s">
        <v>429</v>
      </c>
    </row>
    <row r="88" spans="11:16" x14ac:dyDescent="0.3">
      <c r="K88">
        <v>45112</v>
      </c>
      <c r="L88" s="471"/>
      <c r="M88" s="471"/>
      <c r="N88">
        <v>12</v>
      </c>
      <c r="O88" s="94">
        <v>116300</v>
      </c>
      <c r="P88" t="s">
        <v>430</v>
      </c>
    </row>
    <row r="89" spans="11:16" x14ac:dyDescent="0.3">
      <c r="K89">
        <v>45113</v>
      </c>
      <c r="L89" s="471"/>
      <c r="M89" s="471"/>
      <c r="N89">
        <v>13</v>
      </c>
      <c r="O89" s="94">
        <v>124400</v>
      </c>
      <c r="P89" t="s">
        <v>431</v>
      </c>
    </row>
    <row r="90" spans="11:16" x14ac:dyDescent="0.3">
      <c r="K90">
        <v>45114</v>
      </c>
      <c r="L90" s="471"/>
      <c r="M90" s="471"/>
      <c r="N90">
        <v>14</v>
      </c>
      <c r="O90" s="94">
        <v>132500</v>
      </c>
      <c r="P90" t="s">
        <v>432</v>
      </c>
    </row>
    <row r="91" spans="11:16" x14ac:dyDescent="0.3">
      <c r="K91">
        <v>45115</v>
      </c>
      <c r="L91" s="471"/>
      <c r="M91" s="471"/>
      <c r="N91">
        <v>15</v>
      </c>
      <c r="O91" s="94">
        <v>140600</v>
      </c>
      <c r="P91" t="s">
        <v>433</v>
      </c>
    </row>
    <row r="92" spans="11:16" x14ac:dyDescent="0.3">
      <c r="K92">
        <v>45207</v>
      </c>
      <c r="L92" s="471"/>
      <c r="M92" s="471" t="s">
        <v>346</v>
      </c>
      <c r="N92">
        <v>7</v>
      </c>
      <c r="O92" s="94">
        <v>101400</v>
      </c>
      <c r="P92" t="s">
        <v>434</v>
      </c>
    </row>
    <row r="93" spans="11:16" x14ac:dyDescent="0.3">
      <c r="K93">
        <v>45208</v>
      </c>
      <c r="L93" s="471"/>
      <c r="M93" s="471"/>
      <c r="N93">
        <v>8</v>
      </c>
      <c r="O93" s="94">
        <v>111300</v>
      </c>
      <c r="P93" t="s">
        <v>435</v>
      </c>
    </row>
    <row r="94" spans="11:16" x14ac:dyDescent="0.3">
      <c r="K94">
        <v>45209</v>
      </c>
      <c r="L94" s="471"/>
      <c r="M94" s="471"/>
      <c r="N94">
        <v>9</v>
      </c>
      <c r="O94" s="94">
        <v>121200</v>
      </c>
      <c r="P94" t="s">
        <v>436</v>
      </c>
    </row>
    <row r="95" spans="11:16" x14ac:dyDescent="0.3">
      <c r="K95">
        <v>45210</v>
      </c>
      <c r="L95" s="471"/>
      <c r="M95" s="471"/>
      <c r="N95">
        <v>10</v>
      </c>
      <c r="O95" s="94">
        <v>131100</v>
      </c>
      <c r="P95" t="s">
        <v>437</v>
      </c>
    </row>
    <row r="96" spans="11:16" x14ac:dyDescent="0.3">
      <c r="K96">
        <v>45211</v>
      </c>
      <c r="L96" s="471"/>
      <c r="M96" s="471"/>
      <c r="N96">
        <v>11</v>
      </c>
      <c r="O96" s="94">
        <v>141000</v>
      </c>
      <c r="P96" t="s">
        <v>438</v>
      </c>
    </row>
    <row r="97" spans="11:16" x14ac:dyDescent="0.3">
      <c r="K97">
        <v>45212</v>
      </c>
      <c r="L97" s="471"/>
      <c r="M97" s="471"/>
      <c r="N97">
        <v>12</v>
      </c>
      <c r="O97" s="94">
        <v>150900</v>
      </c>
      <c r="P97" t="s">
        <v>439</v>
      </c>
    </row>
    <row r="98" spans="11:16" x14ac:dyDescent="0.3">
      <c r="K98">
        <v>45213</v>
      </c>
      <c r="L98" s="471"/>
      <c r="M98" s="471"/>
      <c r="N98">
        <v>13</v>
      </c>
      <c r="O98" s="94">
        <v>160600</v>
      </c>
      <c r="P98" t="s">
        <v>440</v>
      </c>
    </row>
    <row r="99" spans="11:16" x14ac:dyDescent="0.3">
      <c r="K99">
        <v>45214</v>
      </c>
      <c r="L99" s="471"/>
      <c r="M99" s="471"/>
      <c r="N99">
        <v>14</v>
      </c>
      <c r="O99" s="94">
        <v>170700</v>
      </c>
      <c r="P99" t="s">
        <v>441</v>
      </c>
    </row>
    <row r="100" spans="11:16" x14ac:dyDescent="0.3">
      <c r="K100">
        <v>45215</v>
      </c>
      <c r="L100" s="471"/>
      <c r="M100" s="471"/>
      <c r="N100">
        <v>15</v>
      </c>
      <c r="O100" s="94">
        <v>180600</v>
      </c>
      <c r="P100" t="s">
        <v>442</v>
      </c>
    </row>
    <row r="101" spans="11:16" x14ac:dyDescent="0.3">
      <c r="K101">
        <v>45307</v>
      </c>
      <c r="L101" s="471"/>
      <c r="M101" s="471" t="s">
        <v>347</v>
      </c>
      <c r="N101">
        <v>7</v>
      </c>
      <c r="O101" s="94">
        <v>111400</v>
      </c>
      <c r="P101" t="s">
        <v>434</v>
      </c>
    </row>
    <row r="102" spans="11:16" x14ac:dyDescent="0.3">
      <c r="K102">
        <v>45308</v>
      </c>
      <c r="L102" s="471"/>
      <c r="M102" s="471"/>
      <c r="N102">
        <v>8</v>
      </c>
      <c r="O102" s="94">
        <v>121800</v>
      </c>
      <c r="P102" t="s">
        <v>435</v>
      </c>
    </row>
    <row r="103" spans="11:16" x14ac:dyDescent="0.3">
      <c r="K103">
        <v>45309</v>
      </c>
      <c r="L103" s="471"/>
      <c r="M103" s="471"/>
      <c r="N103">
        <v>9</v>
      </c>
      <c r="O103" s="94">
        <v>132200</v>
      </c>
      <c r="P103" t="s">
        <v>436</v>
      </c>
    </row>
    <row r="104" spans="11:16" x14ac:dyDescent="0.3">
      <c r="K104">
        <v>45310</v>
      </c>
      <c r="L104" s="471"/>
      <c r="M104" s="471"/>
      <c r="N104">
        <v>10</v>
      </c>
      <c r="O104" s="94">
        <v>142600</v>
      </c>
      <c r="P104" t="s">
        <v>437</v>
      </c>
    </row>
    <row r="105" spans="11:16" x14ac:dyDescent="0.3">
      <c r="K105">
        <v>45311</v>
      </c>
      <c r="L105" s="471"/>
      <c r="M105" s="471"/>
      <c r="N105">
        <v>11</v>
      </c>
      <c r="O105" s="94">
        <v>153000</v>
      </c>
      <c r="P105" t="s">
        <v>438</v>
      </c>
    </row>
    <row r="106" spans="11:16" x14ac:dyDescent="0.3">
      <c r="K106">
        <v>45312</v>
      </c>
      <c r="L106" s="471"/>
      <c r="M106" s="471"/>
      <c r="N106">
        <v>12</v>
      </c>
      <c r="O106" s="94">
        <v>163400</v>
      </c>
      <c r="P106" t="s">
        <v>439</v>
      </c>
    </row>
    <row r="107" spans="11:16" x14ac:dyDescent="0.3">
      <c r="K107">
        <v>45313</v>
      </c>
      <c r="L107" s="471"/>
      <c r="M107" s="471"/>
      <c r="N107">
        <v>13</v>
      </c>
      <c r="O107" s="94">
        <v>173800</v>
      </c>
      <c r="P107" t="s">
        <v>440</v>
      </c>
    </row>
    <row r="108" spans="11:16" x14ac:dyDescent="0.3">
      <c r="K108">
        <v>45314</v>
      </c>
      <c r="L108" s="471"/>
      <c r="M108" s="471"/>
      <c r="N108">
        <v>14</v>
      </c>
      <c r="O108" s="94">
        <v>184200</v>
      </c>
      <c r="P108" t="s">
        <v>441</v>
      </c>
    </row>
    <row r="109" spans="11:16" x14ac:dyDescent="0.3">
      <c r="K109">
        <v>45315</v>
      </c>
      <c r="L109" s="471"/>
      <c r="M109" s="471"/>
      <c r="N109">
        <v>15</v>
      </c>
      <c r="O109" s="94">
        <v>194600</v>
      </c>
      <c r="P109" t="s">
        <v>442</v>
      </c>
    </row>
    <row r="110" spans="11:16" x14ac:dyDescent="0.3">
      <c r="K110">
        <v>50107</v>
      </c>
      <c r="L110" s="471">
        <v>500</v>
      </c>
      <c r="M110" s="471" t="s">
        <v>345</v>
      </c>
      <c r="N110">
        <v>7</v>
      </c>
      <c r="O110" s="94">
        <v>95900</v>
      </c>
      <c r="P110" t="s">
        <v>443</v>
      </c>
    </row>
    <row r="111" spans="11:16" x14ac:dyDescent="0.3">
      <c r="K111">
        <v>50108</v>
      </c>
      <c r="L111" s="471"/>
      <c r="M111" s="471"/>
      <c r="N111">
        <v>8</v>
      </c>
      <c r="O111" s="94">
        <v>106100</v>
      </c>
      <c r="P111" t="s">
        <v>444</v>
      </c>
    </row>
    <row r="112" spans="11:16" x14ac:dyDescent="0.3">
      <c r="K112">
        <v>50109</v>
      </c>
      <c r="L112" s="471"/>
      <c r="M112" s="471"/>
      <c r="N112">
        <v>9</v>
      </c>
      <c r="O112" s="94">
        <v>116300</v>
      </c>
      <c r="P112" t="s">
        <v>445</v>
      </c>
    </row>
    <row r="113" spans="11:16" x14ac:dyDescent="0.3">
      <c r="K113">
        <v>50110</v>
      </c>
      <c r="L113" s="471"/>
      <c r="M113" s="471"/>
      <c r="N113">
        <v>10</v>
      </c>
      <c r="O113" s="94">
        <v>126500</v>
      </c>
      <c r="P113" t="s">
        <v>446</v>
      </c>
    </row>
    <row r="114" spans="11:16" x14ac:dyDescent="0.3">
      <c r="K114">
        <v>50111</v>
      </c>
      <c r="L114" s="471"/>
      <c r="M114" s="471"/>
      <c r="N114">
        <v>11</v>
      </c>
      <c r="O114" s="94">
        <v>136700</v>
      </c>
      <c r="P114" t="s">
        <v>447</v>
      </c>
    </row>
    <row r="115" spans="11:16" x14ac:dyDescent="0.3">
      <c r="K115">
        <v>50112</v>
      </c>
      <c r="L115" s="471"/>
      <c r="M115" s="471"/>
      <c r="N115">
        <v>12</v>
      </c>
      <c r="O115" s="94">
        <v>146900</v>
      </c>
      <c r="P115" t="s">
        <v>448</v>
      </c>
    </row>
    <row r="116" spans="11:16" x14ac:dyDescent="0.3">
      <c r="K116">
        <v>50113</v>
      </c>
      <c r="L116" s="471"/>
      <c r="M116" s="471"/>
      <c r="N116">
        <v>13</v>
      </c>
      <c r="O116" s="94">
        <v>157100</v>
      </c>
      <c r="P116" t="s">
        <v>449</v>
      </c>
    </row>
    <row r="117" spans="11:16" x14ac:dyDescent="0.3">
      <c r="K117">
        <v>50114</v>
      </c>
      <c r="L117" s="471"/>
      <c r="M117" s="471"/>
      <c r="N117">
        <v>14</v>
      </c>
      <c r="O117" s="94">
        <v>167300</v>
      </c>
      <c r="P117" t="s">
        <v>450</v>
      </c>
    </row>
    <row r="118" spans="11:16" x14ac:dyDescent="0.3">
      <c r="K118">
        <v>50115</v>
      </c>
      <c r="L118" s="471"/>
      <c r="M118" s="471"/>
      <c r="N118">
        <v>15</v>
      </c>
      <c r="O118" s="94">
        <v>177500</v>
      </c>
      <c r="P118" t="s">
        <v>451</v>
      </c>
    </row>
    <row r="119" spans="11:16" x14ac:dyDescent="0.3">
      <c r="K119">
        <v>50207</v>
      </c>
      <c r="L119" s="471"/>
      <c r="M119" s="471" t="s">
        <v>346</v>
      </c>
      <c r="N119">
        <v>7</v>
      </c>
      <c r="O119" s="94">
        <v>127100</v>
      </c>
      <c r="P119" t="s">
        <v>452</v>
      </c>
    </row>
    <row r="120" spans="11:16" x14ac:dyDescent="0.3">
      <c r="K120">
        <v>50208</v>
      </c>
      <c r="L120" s="471"/>
      <c r="M120" s="471"/>
      <c r="N120">
        <v>8</v>
      </c>
      <c r="O120" s="94">
        <v>139600</v>
      </c>
      <c r="P120" t="s">
        <v>453</v>
      </c>
    </row>
    <row r="121" spans="11:16" x14ac:dyDescent="0.3">
      <c r="K121">
        <v>50209</v>
      </c>
      <c r="L121" s="471"/>
      <c r="M121" s="471"/>
      <c r="N121">
        <v>9</v>
      </c>
      <c r="O121" s="94">
        <v>152100</v>
      </c>
      <c r="P121" t="s">
        <v>454</v>
      </c>
    </row>
    <row r="122" spans="11:16" x14ac:dyDescent="0.3">
      <c r="K122">
        <v>50210</v>
      </c>
      <c r="L122" s="471"/>
      <c r="M122" s="471"/>
      <c r="N122">
        <v>10</v>
      </c>
      <c r="O122" s="94">
        <v>164600</v>
      </c>
      <c r="P122" t="s">
        <v>455</v>
      </c>
    </row>
    <row r="123" spans="11:16" x14ac:dyDescent="0.3">
      <c r="K123">
        <v>50211</v>
      </c>
      <c r="L123" s="471"/>
      <c r="M123" s="471"/>
      <c r="N123">
        <v>11</v>
      </c>
      <c r="O123" s="94">
        <v>177100</v>
      </c>
      <c r="P123" t="s">
        <v>456</v>
      </c>
    </row>
    <row r="124" spans="11:16" x14ac:dyDescent="0.3">
      <c r="K124">
        <v>50212</v>
      </c>
      <c r="L124" s="471"/>
      <c r="M124" s="471"/>
      <c r="N124">
        <v>12</v>
      </c>
      <c r="O124" s="94">
        <v>189600</v>
      </c>
      <c r="P124" t="s">
        <v>457</v>
      </c>
    </row>
    <row r="125" spans="11:16" x14ac:dyDescent="0.3">
      <c r="K125">
        <v>50213</v>
      </c>
      <c r="L125" s="471"/>
      <c r="M125" s="471"/>
      <c r="N125">
        <v>13</v>
      </c>
      <c r="O125" s="94">
        <v>202100</v>
      </c>
      <c r="P125" t="s">
        <v>458</v>
      </c>
    </row>
    <row r="126" spans="11:16" x14ac:dyDescent="0.3">
      <c r="K126">
        <v>50214</v>
      </c>
      <c r="L126" s="471"/>
      <c r="M126" s="471"/>
      <c r="N126">
        <v>14</v>
      </c>
      <c r="O126" s="94">
        <v>214600</v>
      </c>
      <c r="P126" t="s">
        <v>459</v>
      </c>
    </row>
    <row r="127" spans="11:16" x14ac:dyDescent="0.3">
      <c r="K127">
        <v>50215</v>
      </c>
      <c r="L127" s="471"/>
      <c r="M127" s="471"/>
      <c r="N127">
        <v>15</v>
      </c>
      <c r="O127" s="94">
        <v>227100</v>
      </c>
      <c r="P127" t="s">
        <v>460</v>
      </c>
    </row>
    <row r="128" spans="11:16" x14ac:dyDescent="0.3">
      <c r="K128">
        <v>50307</v>
      </c>
      <c r="L128" s="471"/>
      <c r="M128" s="471" t="s">
        <v>347</v>
      </c>
      <c r="N128">
        <v>7</v>
      </c>
      <c r="O128" s="94">
        <v>141200</v>
      </c>
      <c r="P128" t="s">
        <v>461</v>
      </c>
    </row>
    <row r="129" spans="11:16" x14ac:dyDescent="0.3">
      <c r="K129">
        <v>50308</v>
      </c>
      <c r="L129" s="471"/>
      <c r="M129" s="471"/>
      <c r="N129">
        <v>8</v>
      </c>
      <c r="O129" s="94">
        <v>154600</v>
      </c>
      <c r="P129" t="s">
        <v>462</v>
      </c>
    </row>
    <row r="130" spans="11:16" x14ac:dyDescent="0.3">
      <c r="K130">
        <v>50309</v>
      </c>
      <c r="L130" s="471"/>
      <c r="M130" s="471"/>
      <c r="N130">
        <v>9</v>
      </c>
      <c r="O130" s="94">
        <v>168000</v>
      </c>
      <c r="P130" t="s">
        <v>463</v>
      </c>
    </row>
    <row r="131" spans="11:16" x14ac:dyDescent="0.3">
      <c r="K131">
        <v>50310</v>
      </c>
      <c r="L131" s="471"/>
      <c r="M131" s="471"/>
      <c r="N131">
        <v>10</v>
      </c>
      <c r="O131" s="94">
        <v>181400</v>
      </c>
      <c r="P131" t="s">
        <v>464</v>
      </c>
    </row>
    <row r="132" spans="11:16" x14ac:dyDescent="0.3">
      <c r="K132">
        <v>50311</v>
      </c>
      <c r="L132" s="471"/>
      <c r="M132" s="471"/>
      <c r="N132">
        <v>11</v>
      </c>
      <c r="O132" s="94">
        <v>194800</v>
      </c>
      <c r="P132" t="s">
        <v>465</v>
      </c>
    </row>
    <row r="133" spans="11:16" x14ac:dyDescent="0.3">
      <c r="K133">
        <v>50312</v>
      </c>
      <c r="L133" s="471"/>
      <c r="M133" s="471"/>
      <c r="N133">
        <v>12</v>
      </c>
      <c r="O133" s="94">
        <v>208200</v>
      </c>
      <c r="P133" t="s">
        <v>466</v>
      </c>
    </row>
    <row r="134" spans="11:16" x14ac:dyDescent="0.3">
      <c r="K134">
        <v>50313</v>
      </c>
      <c r="L134" s="471"/>
      <c r="M134" s="471"/>
      <c r="N134">
        <v>13</v>
      </c>
      <c r="O134" s="94">
        <v>221600</v>
      </c>
      <c r="P134" t="s">
        <v>467</v>
      </c>
    </row>
    <row r="135" spans="11:16" x14ac:dyDescent="0.3">
      <c r="K135">
        <v>50314</v>
      </c>
      <c r="L135" s="471"/>
      <c r="M135" s="471"/>
      <c r="N135">
        <v>14</v>
      </c>
      <c r="O135" s="94">
        <v>235000</v>
      </c>
      <c r="P135" t="s">
        <v>468</v>
      </c>
    </row>
    <row r="136" spans="11:16" x14ac:dyDescent="0.3">
      <c r="K136">
        <v>50315</v>
      </c>
      <c r="L136" s="471"/>
      <c r="M136" s="471"/>
      <c r="N136">
        <v>15</v>
      </c>
      <c r="O136" s="94">
        <v>248400</v>
      </c>
      <c r="P136" t="s">
        <v>469</v>
      </c>
    </row>
    <row r="137" spans="11:16" x14ac:dyDescent="0.3">
      <c r="K137">
        <v>60107</v>
      </c>
      <c r="L137" s="471">
        <v>600</v>
      </c>
      <c r="M137" s="471" t="s">
        <v>345</v>
      </c>
      <c r="N137">
        <v>7</v>
      </c>
      <c r="O137" s="94">
        <v>132500</v>
      </c>
      <c r="P137" t="s">
        <v>470</v>
      </c>
    </row>
    <row r="138" spans="11:16" x14ac:dyDescent="0.3">
      <c r="K138">
        <v>60108</v>
      </c>
      <c r="L138" s="471"/>
      <c r="M138" s="471"/>
      <c r="N138">
        <v>8</v>
      </c>
      <c r="O138" s="94">
        <v>146000</v>
      </c>
      <c r="P138" t="s">
        <v>471</v>
      </c>
    </row>
    <row r="139" spans="11:16" x14ac:dyDescent="0.3">
      <c r="K139">
        <v>60109</v>
      </c>
      <c r="L139" s="471"/>
      <c r="M139" s="471"/>
      <c r="N139">
        <v>9</v>
      </c>
      <c r="O139" s="94">
        <v>150500</v>
      </c>
      <c r="P139" t="s">
        <v>472</v>
      </c>
    </row>
    <row r="140" spans="11:16" x14ac:dyDescent="0.3">
      <c r="K140">
        <v>60110</v>
      </c>
      <c r="L140" s="471"/>
      <c r="M140" s="471"/>
      <c r="N140">
        <v>10</v>
      </c>
      <c r="O140" s="94">
        <v>173000</v>
      </c>
      <c r="P140" t="s">
        <v>473</v>
      </c>
    </row>
    <row r="141" spans="11:16" x14ac:dyDescent="0.3">
      <c r="K141">
        <v>60111</v>
      </c>
      <c r="L141" s="471"/>
      <c r="M141" s="471"/>
      <c r="N141">
        <v>11</v>
      </c>
      <c r="O141" s="94">
        <v>186500</v>
      </c>
      <c r="P141" t="s">
        <v>474</v>
      </c>
    </row>
    <row r="142" spans="11:16" x14ac:dyDescent="0.3">
      <c r="K142">
        <v>60112</v>
      </c>
      <c r="L142" s="471"/>
      <c r="M142" s="471"/>
      <c r="N142">
        <v>12</v>
      </c>
      <c r="O142" s="94">
        <v>200000</v>
      </c>
      <c r="P142" t="s">
        <v>475</v>
      </c>
    </row>
    <row r="143" spans="11:16" x14ac:dyDescent="0.3">
      <c r="K143">
        <v>60113</v>
      </c>
      <c r="L143" s="471"/>
      <c r="M143" s="471"/>
      <c r="N143">
        <v>13</v>
      </c>
      <c r="O143" s="94">
        <v>213500</v>
      </c>
      <c r="P143" t="s">
        <v>476</v>
      </c>
    </row>
    <row r="144" spans="11:16" x14ac:dyDescent="0.3">
      <c r="K144">
        <v>60114</v>
      </c>
      <c r="L144" s="471"/>
      <c r="M144" s="471"/>
      <c r="N144">
        <v>14</v>
      </c>
      <c r="O144" s="94">
        <v>227000</v>
      </c>
      <c r="P144" t="s">
        <v>477</v>
      </c>
    </row>
    <row r="145" spans="11:16" x14ac:dyDescent="0.3">
      <c r="K145">
        <v>60115</v>
      </c>
      <c r="L145" s="471"/>
      <c r="M145" s="471"/>
      <c r="N145">
        <v>15</v>
      </c>
      <c r="O145" s="94">
        <v>240500</v>
      </c>
      <c r="P145" t="s">
        <v>478</v>
      </c>
    </row>
    <row r="146" spans="11:16" x14ac:dyDescent="0.3">
      <c r="K146">
        <v>60207</v>
      </c>
      <c r="L146" s="471"/>
      <c r="M146" s="471" t="s">
        <v>346</v>
      </c>
      <c r="N146">
        <v>7</v>
      </c>
      <c r="O146" s="94">
        <v>176300</v>
      </c>
      <c r="P146" t="s">
        <v>479</v>
      </c>
    </row>
    <row r="147" spans="11:16" x14ac:dyDescent="0.3">
      <c r="K147">
        <v>60208</v>
      </c>
      <c r="L147" s="471"/>
      <c r="M147" s="471"/>
      <c r="N147">
        <v>8</v>
      </c>
      <c r="O147" s="94">
        <v>192600</v>
      </c>
      <c r="P147" t="s">
        <v>480</v>
      </c>
    </row>
    <row r="148" spans="11:16" x14ac:dyDescent="0.3">
      <c r="K148">
        <v>60209</v>
      </c>
      <c r="L148" s="471"/>
      <c r="M148" s="471"/>
      <c r="N148">
        <v>9</v>
      </c>
      <c r="O148" s="94">
        <v>208900</v>
      </c>
      <c r="P148" t="s">
        <v>481</v>
      </c>
    </row>
    <row r="149" spans="11:16" x14ac:dyDescent="0.3">
      <c r="K149">
        <v>60210</v>
      </c>
      <c r="L149" s="471"/>
      <c r="M149" s="471"/>
      <c r="N149">
        <v>10</v>
      </c>
      <c r="O149" s="94">
        <v>225200</v>
      </c>
      <c r="P149" t="s">
        <v>482</v>
      </c>
    </row>
    <row r="150" spans="11:16" x14ac:dyDescent="0.3">
      <c r="K150">
        <v>60211</v>
      </c>
      <c r="L150" s="471"/>
      <c r="M150" s="471"/>
      <c r="N150">
        <v>11</v>
      </c>
      <c r="O150" s="94">
        <v>241500</v>
      </c>
      <c r="P150" t="s">
        <v>483</v>
      </c>
    </row>
    <row r="151" spans="11:16" x14ac:dyDescent="0.3">
      <c r="K151">
        <v>60212</v>
      </c>
      <c r="L151" s="471"/>
      <c r="M151" s="471"/>
      <c r="N151">
        <v>12</v>
      </c>
      <c r="O151" s="94">
        <v>257800</v>
      </c>
      <c r="P151" t="s">
        <v>484</v>
      </c>
    </row>
    <row r="152" spans="11:16" x14ac:dyDescent="0.3">
      <c r="K152">
        <v>60213</v>
      </c>
      <c r="L152" s="471"/>
      <c r="M152" s="471"/>
      <c r="N152">
        <v>13</v>
      </c>
      <c r="O152" s="94">
        <v>274100</v>
      </c>
      <c r="P152" t="s">
        <v>485</v>
      </c>
    </row>
    <row r="153" spans="11:16" x14ac:dyDescent="0.3">
      <c r="K153">
        <v>60214</v>
      </c>
      <c r="L153" s="471"/>
      <c r="M153" s="471"/>
      <c r="N153">
        <v>14</v>
      </c>
      <c r="O153" s="94">
        <v>290400</v>
      </c>
      <c r="P153" t="s">
        <v>486</v>
      </c>
    </row>
    <row r="154" spans="11:16" x14ac:dyDescent="0.3">
      <c r="K154">
        <v>60215</v>
      </c>
      <c r="L154" s="471"/>
      <c r="M154" s="471"/>
      <c r="N154">
        <v>15</v>
      </c>
      <c r="O154" s="94">
        <v>306700</v>
      </c>
      <c r="P154" t="s">
        <v>487</v>
      </c>
    </row>
    <row r="155" spans="11:16" x14ac:dyDescent="0.3">
      <c r="K155">
        <v>60307</v>
      </c>
      <c r="L155" s="471"/>
      <c r="M155" s="471" t="s">
        <v>347</v>
      </c>
      <c r="N155">
        <v>7</v>
      </c>
      <c r="O155" s="94">
        <v>192500</v>
      </c>
      <c r="P155" t="s">
        <v>488</v>
      </c>
    </row>
    <row r="156" spans="11:16" x14ac:dyDescent="0.3">
      <c r="K156">
        <v>60308</v>
      </c>
      <c r="L156" s="471"/>
      <c r="M156" s="471"/>
      <c r="N156">
        <v>8</v>
      </c>
      <c r="O156" s="94">
        <v>210600</v>
      </c>
      <c r="P156" t="s">
        <v>489</v>
      </c>
    </row>
    <row r="157" spans="11:16" x14ac:dyDescent="0.3">
      <c r="K157">
        <v>60309</v>
      </c>
      <c r="L157" s="471"/>
      <c r="M157" s="471"/>
      <c r="N157">
        <v>9</v>
      </c>
      <c r="O157" s="94">
        <v>228700</v>
      </c>
      <c r="P157" t="s">
        <v>490</v>
      </c>
    </row>
    <row r="158" spans="11:16" x14ac:dyDescent="0.3">
      <c r="K158">
        <v>60310</v>
      </c>
      <c r="L158" s="471"/>
      <c r="M158" s="471"/>
      <c r="N158">
        <v>10</v>
      </c>
      <c r="O158" s="94">
        <v>246800</v>
      </c>
      <c r="P158" t="s">
        <v>491</v>
      </c>
    </row>
    <row r="159" spans="11:16" x14ac:dyDescent="0.3">
      <c r="K159">
        <v>60311</v>
      </c>
      <c r="L159" s="471"/>
      <c r="M159" s="471"/>
      <c r="N159">
        <v>11</v>
      </c>
      <c r="O159" s="94">
        <v>264900</v>
      </c>
      <c r="P159" t="s">
        <v>492</v>
      </c>
    </row>
    <row r="160" spans="11:16" x14ac:dyDescent="0.3">
      <c r="K160">
        <v>60312</v>
      </c>
      <c r="L160" s="471"/>
      <c r="M160" s="471"/>
      <c r="N160">
        <v>12</v>
      </c>
      <c r="O160" s="94">
        <v>283000</v>
      </c>
      <c r="P160" t="s">
        <v>493</v>
      </c>
    </row>
    <row r="161" spans="11:16" x14ac:dyDescent="0.3">
      <c r="K161">
        <v>60313</v>
      </c>
      <c r="L161" s="471"/>
      <c r="M161" s="471"/>
      <c r="N161">
        <v>13</v>
      </c>
      <c r="O161" s="94">
        <v>301100</v>
      </c>
      <c r="P161" t="s">
        <v>494</v>
      </c>
    </row>
    <row r="162" spans="11:16" x14ac:dyDescent="0.3">
      <c r="K162">
        <v>60314</v>
      </c>
      <c r="L162" s="471"/>
      <c r="M162" s="471"/>
      <c r="N162">
        <v>14</v>
      </c>
      <c r="O162" s="94">
        <v>319200</v>
      </c>
      <c r="P162" t="s">
        <v>495</v>
      </c>
    </row>
    <row r="163" spans="11:16" x14ac:dyDescent="0.3">
      <c r="K163">
        <v>60315</v>
      </c>
      <c r="L163" s="471"/>
      <c r="M163" s="471"/>
      <c r="N163">
        <v>15</v>
      </c>
      <c r="O163" s="94">
        <v>337300</v>
      </c>
      <c r="P163" t="s">
        <v>496</v>
      </c>
    </row>
  </sheetData>
  <mergeCells count="24">
    <mergeCell ref="L110:L136"/>
    <mergeCell ref="M110:M118"/>
    <mergeCell ref="M119:M127"/>
    <mergeCell ref="M128:M136"/>
    <mergeCell ref="L137:L163"/>
    <mergeCell ref="M137:M145"/>
    <mergeCell ref="M146:M154"/>
    <mergeCell ref="M155:M163"/>
    <mergeCell ref="L56:L82"/>
    <mergeCell ref="M56:M64"/>
    <mergeCell ref="M65:M73"/>
    <mergeCell ref="M74:M82"/>
    <mergeCell ref="L83:L109"/>
    <mergeCell ref="M83:M91"/>
    <mergeCell ref="M92:M100"/>
    <mergeCell ref="M101:M109"/>
    <mergeCell ref="M2:M10"/>
    <mergeCell ref="M11:M19"/>
    <mergeCell ref="M20:M28"/>
    <mergeCell ref="L2:L28"/>
    <mergeCell ref="L29:L55"/>
    <mergeCell ref="M29:M37"/>
    <mergeCell ref="M38:M46"/>
    <mergeCell ref="M47:M55"/>
  </mergeCells>
  <phoneticPr fontId="2"/>
  <pageMargins left="0.75" right="0.75" top="1" bottom="1" header="0.51200000000000001" footer="0.51200000000000001"/>
  <pageSetup paperSize="9" orientation="portrait" r:id="rId1"/>
  <headerFooter alignWithMargins="0">
    <oddFooter>&amp;C&amp;1#&amp;"Calibri"&amp;10&amp;K000000Confidential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E10:N13"/>
  <sheetViews>
    <sheetView workbookViewId="0">
      <selection activeCell="E10" sqref="E10:F10"/>
    </sheetView>
  </sheetViews>
  <sheetFormatPr defaultRowHeight="12.9" x14ac:dyDescent="0.3"/>
  <cols>
    <col min="12" max="12" width="9.47265625" bestFit="1" customWidth="1"/>
  </cols>
  <sheetData>
    <row r="10" spans="5:14" x14ac:dyDescent="0.3">
      <c r="E10">
        <v>7.3</v>
      </c>
      <c r="F10">
        <v>0</v>
      </c>
      <c r="J10">
        <v>7.52</v>
      </c>
      <c r="K10">
        <f>+J10-E10</f>
        <v>0.21999999999999975</v>
      </c>
      <c r="L10" s="187">
        <f>+I11*K10</f>
        <v>18.271578947368397</v>
      </c>
    </row>
    <row r="11" spans="5:14" x14ac:dyDescent="0.3">
      <c r="E11">
        <v>8.25</v>
      </c>
      <c r="F11">
        <v>78.900000000000006</v>
      </c>
      <c r="H11">
        <f>+E11-E10</f>
        <v>0.95000000000000018</v>
      </c>
      <c r="I11">
        <f>F11/H11</f>
        <v>83.052631578947356</v>
      </c>
      <c r="J11">
        <v>8.25</v>
      </c>
      <c r="K11">
        <f>+J11-J10</f>
        <v>0.73000000000000043</v>
      </c>
      <c r="L11" s="187">
        <v>78.900000000000006</v>
      </c>
      <c r="M11">
        <f>(L11+L10)/2*K11</f>
        <v>35.467626315789488</v>
      </c>
    </row>
    <row r="12" spans="5:14" x14ac:dyDescent="0.3">
      <c r="E12">
        <v>9.1</v>
      </c>
      <c r="F12">
        <v>107.1</v>
      </c>
      <c r="G12">
        <f>+F12-F11</f>
        <v>28.199999999999989</v>
      </c>
      <c r="H12">
        <f>+E12-E11</f>
        <v>0.84999999999999964</v>
      </c>
      <c r="I12">
        <f>+G12/H12</f>
        <v>33.176470588235297</v>
      </c>
      <c r="J12">
        <v>9.02</v>
      </c>
      <c r="K12">
        <f>+J12-J11</f>
        <v>0.76999999999999957</v>
      </c>
      <c r="L12" s="187">
        <f>+I12*K12+L11</f>
        <v>104.44588235294117</v>
      </c>
      <c r="M12">
        <f>+(L11+L12)/2*K12</f>
        <v>70.588164705882306</v>
      </c>
    </row>
    <row r="13" spans="5:14" x14ac:dyDescent="0.3">
      <c r="K13">
        <f>SUM(K11:K12)</f>
        <v>1.5</v>
      </c>
      <c r="M13">
        <f>SUM(M11:M12)</f>
        <v>106.05579102167179</v>
      </c>
      <c r="N13">
        <f>+M13/K13</f>
        <v>70.703860681114534</v>
      </c>
    </row>
  </sheetData>
  <phoneticPr fontId="2"/>
  <pageMargins left="0.75" right="0.75" top="1" bottom="1" header="0.51200000000000001" footer="0.51200000000000001"/>
  <pageSetup paperSize="9" orientation="portrait" copies="0" r:id="rId1"/>
  <headerFooter alignWithMargins="0">
    <oddFooter>&amp;C&amp;1#&amp;"Calibri"&amp;10&amp;K000000Confidential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input _pile (2)</vt:lpstr>
      <vt:lpstr>N</vt:lpstr>
      <vt:lpstr>PHC</vt:lpstr>
      <vt:lpstr>SHIJIRYOKU</vt:lpstr>
      <vt:lpstr>horizontal strength</vt:lpstr>
      <vt:lpstr>場所打ち</vt:lpstr>
      <vt:lpstr>input _pile</vt:lpstr>
      <vt:lpstr>allowable of pile</vt:lpstr>
      <vt:lpstr>direct stress 300</vt:lpstr>
      <vt:lpstr>direct stress 350</vt:lpstr>
      <vt:lpstr>direct stress</vt:lpstr>
      <vt:lpstr>pile_cap</vt:lpstr>
      <vt:lpstr>N_calc</vt:lpstr>
      <vt:lpstr>Sheet1</vt:lpstr>
      <vt:lpstr>Sheet2</vt:lpstr>
    </vt:vector>
  </TitlesOfParts>
  <Company>ＦＭユーザ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松下  誠</dc:creator>
  <cp:lastModifiedBy>Administrator</cp:lastModifiedBy>
  <cp:lastPrinted>2022-08-14T06:55:42Z</cp:lastPrinted>
  <dcterms:created xsi:type="dcterms:W3CDTF">1997-11-21T02:46:14Z</dcterms:created>
  <dcterms:modified xsi:type="dcterms:W3CDTF">2024-04-11T09:16:52Z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40bcb0f-5b51-4b6e-b1dd-058f2ad3bb86_Enabled">
    <vt:lpwstr>true</vt:lpwstr>
  </property>
  <property fmtid="{D5CDD505-2E9C-101B-9397-08002B2CF9AE}" pid="3" name="MSIP_Label_340bcb0f-5b51-4b6e-b1dd-058f2ad3bb86_SetDate">
    <vt:lpwstr>2024-04-11T09:16:52Z</vt:lpwstr>
  </property>
  <property fmtid="{D5CDD505-2E9C-101B-9397-08002B2CF9AE}" pid="4" name="MSIP_Label_340bcb0f-5b51-4b6e-b1dd-058f2ad3bb86_Method">
    <vt:lpwstr>Standard</vt:lpwstr>
  </property>
  <property fmtid="{D5CDD505-2E9C-101B-9397-08002B2CF9AE}" pid="5" name="MSIP_Label_340bcb0f-5b51-4b6e-b1dd-058f2ad3bb86_Name">
    <vt:lpwstr>社内情報利用</vt:lpwstr>
  </property>
  <property fmtid="{D5CDD505-2E9C-101B-9397-08002B2CF9AE}" pid="6" name="MSIP_Label_340bcb0f-5b51-4b6e-b1dd-058f2ad3bb86_SiteId">
    <vt:lpwstr>e7b9c1d5-0d8a-4ce9-84f5-a3b79615e52e</vt:lpwstr>
  </property>
  <property fmtid="{D5CDD505-2E9C-101B-9397-08002B2CF9AE}" pid="7" name="MSIP_Label_340bcb0f-5b51-4b6e-b1dd-058f2ad3bb86_ActionId">
    <vt:lpwstr>638fddad-cf28-4341-a417-9ef2add38507</vt:lpwstr>
  </property>
  <property fmtid="{D5CDD505-2E9C-101B-9397-08002B2CF9AE}" pid="8" name="MSIP_Label_340bcb0f-5b51-4b6e-b1dd-058f2ad3bb86_ContentBits">
    <vt:lpwstr>2</vt:lpwstr>
  </property>
</Properties>
</file>